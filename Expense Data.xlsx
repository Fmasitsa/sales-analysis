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 Data" sheetId="1" r:id="rId5"/>
  </sheets>
  <definedNames/>
  <calcPr/>
</workbook>
</file>

<file path=xl/sharedStrings.xml><?xml version="1.0" encoding="utf-8"?>
<sst xmlns="http://schemas.openxmlformats.org/spreadsheetml/2006/main" count="357" uniqueCount="33">
  <si>
    <t>Expense Date</t>
  </si>
  <si>
    <t>Expense Account</t>
  </si>
  <si>
    <t>Expense Amount</t>
  </si>
  <si>
    <t>Year</t>
  </si>
  <si>
    <t>Month</t>
  </si>
  <si>
    <t>Month No</t>
  </si>
  <si>
    <t>Quater</t>
  </si>
  <si>
    <t>Other Expenses</t>
  </si>
  <si>
    <t>Salaries and Employee Wages</t>
  </si>
  <si>
    <t>Office Supplies</t>
  </si>
  <si>
    <t>Meals and Entertainment</t>
  </si>
  <si>
    <t>Furniture and Equipment</t>
  </si>
  <si>
    <t>Cost of Goods Sold</t>
  </si>
  <si>
    <t>Travel Expense</t>
  </si>
  <si>
    <t>Telephone Expense</t>
  </si>
  <si>
    <t>Repairs and Maintenance</t>
  </si>
  <si>
    <t>Employee Reimbursements</t>
  </si>
  <si>
    <t>IT and Internet Expenses</t>
  </si>
  <si>
    <t>Advertising And Marketing</t>
  </si>
  <si>
    <t>Electricity</t>
  </si>
  <si>
    <t>Water Bill</t>
  </si>
  <si>
    <t>Parlour Supplies</t>
  </si>
  <si>
    <t>Internet</t>
  </si>
  <si>
    <t>Beauty Products</t>
  </si>
  <si>
    <t>tumbler Cups</t>
  </si>
  <si>
    <t>Water refill</t>
  </si>
  <si>
    <t>Fare</t>
  </si>
  <si>
    <t>Tissues</t>
  </si>
  <si>
    <t>Towel wash</t>
  </si>
  <si>
    <t>Detergent</t>
  </si>
  <si>
    <t>Purchase Discounts</t>
  </si>
  <si>
    <t>Janitorial Expense</t>
  </si>
  <si>
    <t>Employee Advance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</si>
</sst>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sz val="11.0"/>
      <color rgb="FF000000"/>
      <name val="Times New Roman"/>
    </font>
    <font>
      <b/>
      <sz val="11.0"/>
      <color theme="1"/>
      <name val="Times New Roman"/>
    </font>
    <font>
      <color theme="1"/>
      <name val="Arial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1" fillId="2" fontId="2" numFmtId="49" xfId="0" applyAlignment="1" applyBorder="1" applyFill="1" applyFont="1" applyNumberFormat="1">
      <alignment horizontal="center" vertical="bottom"/>
    </xf>
    <xf borderId="1" fillId="2" fontId="2" numFmtId="4" xfId="0" applyAlignment="1" applyBorder="1" applyFill="1" applyFont="1" applyNumberFormat="1">
      <alignment horizontal="center" vertical="bottom"/>
    </xf>
    <xf borderId="1" fillId="2" fontId="2" numFmtId="4" xfId="0" applyAlignment="1" applyBorder="1" applyFill="1" applyFont="1" applyNumberFormat="1">
      <alignment horizontal="center" readingOrder="0" vertical="bottom"/>
    </xf>
    <xf borderId="0" fillId="0" fontId="3" numFmtId="0" xfId="0" applyAlignment="1" applyFont="1">
      <alignment horizontal="center"/>
    </xf>
    <xf borderId="0" fillId="0" fontId="4" numFmtId="164" xfId="0" applyAlignment="1" applyFont="1" applyNumberFormat="1">
      <alignment horizontal="center" vertical="bottom"/>
    </xf>
    <xf borderId="0" fillId="0" fontId="4" numFmtId="49" xfId="0" applyAlignment="1" applyFont="1" applyNumberFormat="1">
      <alignment horizontal="center" vertical="bottom"/>
    </xf>
    <xf borderId="0" fillId="0" fontId="4" numFmtId="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/>
    </xf>
    <xf borderId="0" fillId="0" fontId="3" numFmtId="49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26.0"/>
    <col customWidth="1" min="3" max="3" width="14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45386.0</v>
      </c>
      <c r="B2" s="7" t="s">
        <v>7</v>
      </c>
      <c r="C2" s="8">
        <v>31030.0</v>
      </c>
      <c r="D2" s="5">
        <f t="shared" ref="D2:D351" si="1">YEAR(A2)</f>
        <v>2024</v>
      </c>
      <c r="E2" s="5" t="str">
        <f t="shared" ref="E2:E351" si="2">TEXT(A2,"MMMM")</f>
        <v>April</v>
      </c>
      <c r="F2" s="5">
        <f t="shared" ref="F2:F351" si="3">MONTH(A2)</f>
        <v>4</v>
      </c>
      <c r="G2" s="5" t="str">
        <f t="shared" ref="G2:G351" si="4">"Q"&amp;ROUNDUP(MONTH(A2)/3,0)</f>
        <v>Q2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6">
        <v>45389.0</v>
      </c>
      <c r="B3" s="7" t="s">
        <v>7</v>
      </c>
      <c r="C3" s="8">
        <v>2720.0</v>
      </c>
      <c r="D3" s="5">
        <f t="shared" si="1"/>
        <v>2024</v>
      </c>
      <c r="E3" s="5" t="str">
        <f t="shared" si="2"/>
        <v>April</v>
      </c>
      <c r="F3" s="5">
        <f t="shared" si="3"/>
        <v>4</v>
      </c>
      <c r="G3" s="5" t="str">
        <f t="shared" si="4"/>
        <v>Q2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>
        <v>45386.0</v>
      </c>
      <c r="B4" s="7" t="s">
        <v>7</v>
      </c>
      <c r="C4" s="8">
        <v>4000.0</v>
      </c>
      <c r="D4" s="5">
        <f t="shared" si="1"/>
        <v>2024</v>
      </c>
      <c r="E4" s="5" t="str">
        <f t="shared" si="2"/>
        <v>April</v>
      </c>
      <c r="F4" s="5">
        <f t="shared" si="3"/>
        <v>4</v>
      </c>
      <c r="G4" s="5" t="str">
        <f t="shared" si="4"/>
        <v>Q2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6">
        <v>45387.0</v>
      </c>
      <c r="B5" s="7" t="s">
        <v>7</v>
      </c>
      <c r="C5" s="8">
        <v>7000.0</v>
      </c>
      <c r="D5" s="5">
        <f t="shared" si="1"/>
        <v>2024</v>
      </c>
      <c r="E5" s="5" t="str">
        <f t="shared" si="2"/>
        <v>April</v>
      </c>
      <c r="F5" s="5">
        <f t="shared" si="3"/>
        <v>4</v>
      </c>
      <c r="G5" s="5" t="str">
        <f t="shared" si="4"/>
        <v>Q2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6">
        <v>45386.0</v>
      </c>
      <c r="B6" s="7" t="s">
        <v>7</v>
      </c>
      <c r="C6" s="8">
        <v>40000.0</v>
      </c>
      <c r="D6" s="5">
        <f t="shared" si="1"/>
        <v>2024</v>
      </c>
      <c r="E6" s="5" t="str">
        <f t="shared" si="2"/>
        <v>April</v>
      </c>
      <c r="F6" s="5">
        <f t="shared" si="3"/>
        <v>4</v>
      </c>
      <c r="G6" s="5" t="str">
        <f t="shared" si="4"/>
        <v>Q2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6">
        <v>45387.0</v>
      </c>
      <c r="B7" s="7" t="s">
        <v>7</v>
      </c>
      <c r="C7" s="8">
        <v>12500.0</v>
      </c>
      <c r="D7" s="5">
        <f t="shared" si="1"/>
        <v>2024</v>
      </c>
      <c r="E7" s="5" t="str">
        <f t="shared" si="2"/>
        <v>April</v>
      </c>
      <c r="F7" s="5">
        <f t="shared" si="3"/>
        <v>4</v>
      </c>
      <c r="G7" s="5" t="str">
        <f t="shared" si="4"/>
        <v>Q2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6">
        <v>45411.0</v>
      </c>
      <c r="B8" s="7" t="s">
        <v>8</v>
      </c>
      <c r="C8" s="8">
        <v>22000.0</v>
      </c>
      <c r="D8" s="5">
        <f t="shared" si="1"/>
        <v>2024</v>
      </c>
      <c r="E8" s="5" t="str">
        <f t="shared" si="2"/>
        <v>April</v>
      </c>
      <c r="F8" s="5">
        <f t="shared" si="3"/>
        <v>4</v>
      </c>
      <c r="G8" s="5" t="str">
        <f t="shared" si="4"/>
        <v>Q2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6">
        <v>45401.0</v>
      </c>
      <c r="B9" s="7" t="s">
        <v>9</v>
      </c>
      <c r="C9" s="8">
        <v>200.0</v>
      </c>
      <c r="D9" s="5">
        <f t="shared" si="1"/>
        <v>2024</v>
      </c>
      <c r="E9" s="5" t="str">
        <f t="shared" si="2"/>
        <v>April</v>
      </c>
      <c r="F9" s="5">
        <f t="shared" si="3"/>
        <v>4</v>
      </c>
      <c r="G9" s="5" t="str">
        <f t="shared" si="4"/>
        <v>Q2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6">
        <v>45404.0</v>
      </c>
      <c r="B10" s="7" t="s">
        <v>10</v>
      </c>
      <c r="C10" s="8">
        <v>70.0</v>
      </c>
      <c r="D10" s="5">
        <f t="shared" si="1"/>
        <v>2024</v>
      </c>
      <c r="E10" s="5" t="str">
        <f t="shared" si="2"/>
        <v>April</v>
      </c>
      <c r="F10" s="5">
        <f t="shared" si="3"/>
        <v>4</v>
      </c>
      <c r="G10" s="5" t="str">
        <f t="shared" si="4"/>
        <v>Q2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6">
        <v>45411.0</v>
      </c>
      <c r="B11" s="7" t="s">
        <v>10</v>
      </c>
      <c r="C11" s="8">
        <v>40.0</v>
      </c>
      <c r="D11" s="5">
        <f t="shared" si="1"/>
        <v>2024</v>
      </c>
      <c r="E11" s="5" t="str">
        <f t="shared" si="2"/>
        <v>April</v>
      </c>
      <c r="F11" s="5">
        <f t="shared" si="3"/>
        <v>4</v>
      </c>
      <c r="G11" s="5" t="str">
        <f t="shared" si="4"/>
        <v>Q2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6">
        <v>45420.0</v>
      </c>
      <c r="B12" s="7" t="s">
        <v>11</v>
      </c>
      <c r="C12" s="8">
        <v>180.0</v>
      </c>
      <c r="D12" s="5">
        <f t="shared" si="1"/>
        <v>2024</v>
      </c>
      <c r="E12" s="5" t="str">
        <f t="shared" si="2"/>
        <v>May</v>
      </c>
      <c r="F12" s="5">
        <f t="shared" si="3"/>
        <v>5</v>
      </c>
      <c r="G12" s="5" t="str">
        <f t="shared" si="4"/>
        <v>Q2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6">
        <v>45412.0</v>
      </c>
      <c r="B13" s="7" t="s">
        <v>12</v>
      </c>
      <c r="C13" s="8">
        <v>200.0</v>
      </c>
      <c r="D13" s="5">
        <f t="shared" si="1"/>
        <v>2024</v>
      </c>
      <c r="E13" s="5" t="str">
        <f t="shared" si="2"/>
        <v>April</v>
      </c>
      <c r="F13" s="5">
        <f t="shared" si="3"/>
        <v>4</v>
      </c>
      <c r="G13" s="5" t="str">
        <f t="shared" si="4"/>
        <v>Q2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6">
        <v>45418.0</v>
      </c>
      <c r="B14" s="7" t="s">
        <v>10</v>
      </c>
      <c r="C14" s="8">
        <v>70.0</v>
      </c>
      <c r="D14" s="5">
        <f t="shared" si="1"/>
        <v>2024</v>
      </c>
      <c r="E14" s="5" t="str">
        <f t="shared" si="2"/>
        <v>May</v>
      </c>
      <c r="F14" s="5">
        <f t="shared" si="3"/>
        <v>5</v>
      </c>
      <c r="G14" s="5" t="str">
        <f t="shared" si="4"/>
        <v>Q2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6">
        <v>45423.0</v>
      </c>
      <c r="B15" s="7" t="s">
        <v>10</v>
      </c>
      <c r="C15" s="8">
        <v>70.0</v>
      </c>
      <c r="D15" s="5">
        <f t="shared" si="1"/>
        <v>2024</v>
      </c>
      <c r="E15" s="5" t="str">
        <f t="shared" si="2"/>
        <v>May</v>
      </c>
      <c r="F15" s="5">
        <f t="shared" si="3"/>
        <v>5</v>
      </c>
      <c r="G15" s="5" t="str">
        <f t="shared" si="4"/>
        <v>Q2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6">
        <v>45423.0</v>
      </c>
      <c r="B16" s="7" t="s">
        <v>13</v>
      </c>
      <c r="C16" s="8">
        <v>100.0</v>
      </c>
      <c r="D16" s="5">
        <f t="shared" si="1"/>
        <v>2024</v>
      </c>
      <c r="E16" s="5" t="str">
        <f t="shared" si="2"/>
        <v>May</v>
      </c>
      <c r="F16" s="5">
        <f t="shared" si="3"/>
        <v>5</v>
      </c>
      <c r="G16" s="5" t="str">
        <f t="shared" si="4"/>
        <v>Q2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6">
        <v>45425.0</v>
      </c>
      <c r="B17" s="7" t="s">
        <v>14</v>
      </c>
      <c r="C17" s="8">
        <v>300.0</v>
      </c>
      <c r="D17" s="5">
        <f t="shared" si="1"/>
        <v>2024</v>
      </c>
      <c r="E17" s="5" t="str">
        <f t="shared" si="2"/>
        <v>May</v>
      </c>
      <c r="F17" s="5">
        <f t="shared" si="3"/>
        <v>5</v>
      </c>
      <c r="G17" s="5" t="str">
        <f t="shared" si="4"/>
        <v>Q2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6">
        <v>45427.0</v>
      </c>
      <c r="B18" s="7" t="s">
        <v>10</v>
      </c>
      <c r="C18" s="8">
        <v>70.0</v>
      </c>
      <c r="D18" s="5">
        <f t="shared" si="1"/>
        <v>2024</v>
      </c>
      <c r="E18" s="5" t="str">
        <f t="shared" si="2"/>
        <v>May</v>
      </c>
      <c r="F18" s="5">
        <f t="shared" si="3"/>
        <v>5</v>
      </c>
      <c r="G18" s="5" t="str">
        <f t="shared" si="4"/>
        <v>Q2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6">
        <v>45411.0</v>
      </c>
      <c r="B19" s="7" t="s">
        <v>10</v>
      </c>
      <c r="C19" s="8">
        <v>40.0</v>
      </c>
      <c r="D19" s="5">
        <f t="shared" si="1"/>
        <v>2024</v>
      </c>
      <c r="E19" s="5" t="str">
        <f t="shared" si="2"/>
        <v>April</v>
      </c>
      <c r="F19" s="5">
        <f t="shared" si="3"/>
        <v>4</v>
      </c>
      <c r="G19" s="5" t="str">
        <f t="shared" si="4"/>
        <v>Q2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6">
        <v>45404.0</v>
      </c>
      <c r="B20" s="7" t="s">
        <v>10</v>
      </c>
      <c r="C20" s="8">
        <v>70.0</v>
      </c>
      <c r="D20" s="5">
        <f t="shared" si="1"/>
        <v>2024</v>
      </c>
      <c r="E20" s="5" t="str">
        <f t="shared" si="2"/>
        <v>April</v>
      </c>
      <c r="F20" s="5">
        <f t="shared" si="3"/>
        <v>4</v>
      </c>
      <c r="G20" s="5" t="str">
        <f t="shared" si="4"/>
        <v>Q2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6">
        <v>45401.0</v>
      </c>
      <c r="B21" s="7" t="s">
        <v>13</v>
      </c>
      <c r="C21" s="8">
        <v>200.0</v>
      </c>
      <c r="D21" s="5">
        <f t="shared" si="1"/>
        <v>2024</v>
      </c>
      <c r="E21" s="5" t="str">
        <f t="shared" si="2"/>
        <v>April</v>
      </c>
      <c r="F21" s="5">
        <f t="shared" si="3"/>
        <v>4</v>
      </c>
      <c r="G21" s="5" t="str">
        <f t="shared" si="4"/>
        <v>Q2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6">
        <v>45437.0</v>
      </c>
      <c r="B22" s="7" t="s">
        <v>7</v>
      </c>
      <c r="C22" s="8">
        <v>5000.0</v>
      </c>
      <c r="D22" s="5">
        <f t="shared" si="1"/>
        <v>2024</v>
      </c>
      <c r="E22" s="5" t="str">
        <f t="shared" si="2"/>
        <v>May</v>
      </c>
      <c r="F22" s="5">
        <f t="shared" si="3"/>
        <v>5</v>
      </c>
      <c r="G22" s="5" t="str">
        <f t="shared" si="4"/>
        <v>Q2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6">
        <v>45429.0</v>
      </c>
      <c r="B23" s="7" t="s">
        <v>12</v>
      </c>
      <c r="C23" s="8">
        <v>10.0</v>
      </c>
      <c r="D23" s="5">
        <f t="shared" si="1"/>
        <v>2024</v>
      </c>
      <c r="E23" s="5" t="str">
        <f t="shared" si="2"/>
        <v>May</v>
      </c>
      <c r="F23" s="5">
        <f t="shared" si="3"/>
        <v>5</v>
      </c>
      <c r="G23" s="5" t="str">
        <f t="shared" si="4"/>
        <v>Q2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6">
        <v>45430.0</v>
      </c>
      <c r="B24" s="7" t="s">
        <v>12</v>
      </c>
      <c r="C24" s="8">
        <v>350.0</v>
      </c>
      <c r="D24" s="5">
        <f t="shared" si="1"/>
        <v>2024</v>
      </c>
      <c r="E24" s="5" t="str">
        <f t="shared" si="2"/>
        <v>May</v>
      </c>
      <c r="F24" s="5">
        <f t="shared" si="3"/>
        <v>5</v>
      </c>
      <c r="G24" s="5" t="str">
        <f t="shared" si="4"/>
        <v>Q2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6">
        <v>45430.0</v>
      </c>
      <c r="B25" s="7" t="s">
        <v>12</v>
      </c>
      <c r="C25" s="8">
        <v>350.0</v>
      </c>
      <c r="D25" s="5">
        <f t="shared" si="1"/>
        <v>2024</v>
      </c>
      <c r="E25" s="5" t="str">
        <f t="shared" si="2"/>
        <v>May</v>
      </c>
      <c r="F25" s="5">
        <f t="shared" si="3"/>
        <v>5</v>
      </c>
      <c r="G25" s="5" t="str">
        <f t="shared" si="4"/>
        <v>Q2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6">
        <v>45432.0</v>
      </c>
      <c r="B26" s="7" t="s">
        <v>12</v>
      </c>
      <c r="C26" s="8">
        <v>70.0</v>
      </c>
      <c r="D26" s="5">
        <f t="shared" si="1"/>
        <v>2024</v>
      </c>
      <c r="E26" s="5" t="str">
        <f t="shared" si="2"/>
        <v>May</v>
      </c>
      <c r="F26" s="5">
        <f t="shared" si="3"/>
        <v>5</v>
      </c>
      <c r="G26" s="5" t="str">
        <f t="shared" si="4"/>
        <v>Q2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6">
        <v>45432.0</v>
      </c>
      <c r="B27" s="7" t="s">
        <v>12</v>
      </c>
      <c r="C27" s="8">
        <v>175.0</v>
      </c>
      <c r="D27" s="5">
        <f t="shared" si="1"/>
        <v>2024</v>
      </c>
      <c r="E27" s="5" t="str">
        <f t="shared" si="2"/>
        <v>May</v>
      </c>
      <c r="F27" s="5">
        <f t="shared" si="3"/>
        <v>5</v>
      </c>
      <c r="G27" s="5" t="str">
        <f t="shared" si="4"/>
        <v>Q2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6">
        <v>45434.0</v>
      </c>
      <c r="B28" s="7" t="s">
        <v>12</v>
      </c>
      <c r="C28" s="8">
        <v>300.0</v>
      </c>
      <c r="D28" s="5">
        <f t="shared" si="1"/>
        <v>2024</v>
      </c>
      <c r="E28" s="5" t="str">
        <f t="shared" si="2"/>
        <v>May</v>
      </c>
      <c r="F28" s="5">
        <f t="shared" si="3"/>
        <v>5</v>
      </c>
      <c r="G28" s="5" t="str">
        <f t="shared" si="4"/>
        <v>Q2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6">
        <v>45435.0</v>
      </c>
      <c r="B29" s="7" t="s">
        <v>12</v>
      </c>
      <c r="C29" s="8">
        <v>70.0</v>
      </c>
      <c r="D29" s="5">
        <f t="shared" si="1"/>
        <v>2024</v>
      </c>
      <c r="E29" s="5" t="str">
        <f t="shared" si="2"/>
        <v>May</v>
      </c>
      <c r="F29" s="5">
        <f t="shared" si="3"/>
        <v>5</v>
      </c>
      <c r="G29" s="5" t="str">
        <f t="shared" si="4"/>
        <v>Q2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6">
        <v>45435.0</v>
      </c>
      <c r="B30" s="7" t="s">
        <v>12</v>
      </c>
      <c r="C30" s="8">
        <v>250.0</v>
      </c>
      <c r="D30" s="5">
        <f t="shared" si="1"/>
        <v>2024</v>
      </c>
      <c r="E30" s="5" t="str">
        <f t="shared" si="2"/>
        <v>May</v>
      </c>
      <c r="F30" s="5">
        <f t="shared" si="3"/>
        <v>5</v>
      </c>
      <c r="G30" s="5" t="str">
        <f t="shared" si="4"/>
        <v>Q2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6">
        <v>45439.0</v>
      </c>
      <c r="B31" s="7" t="s">
        <v>13</v>
      </c>
      <c r="C31" s="8">
        <v>200.0</v>
      </c>
      <c r="D31" s="5">
        <f t="shared" si="1"/>
        <v>2024</v>
      </c>
      <c r="E31" s="5" t="str">
        <f t="shared" si="2"/>
        <v>May</v>
      </c>
      <c r="F31" s="5">
        <f t="shared" si="3"/>
        <v>5</v>
      </c>
      <c r="G31" s="5" t="str">
        <f t="shared" si="4"/>
        <v>Q2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6">
        <v>45441.0</v>
      </c>
      <c r="B32" s="7" t="s">
        <v>12</v>
      </c>
      <c r="C32" s="8">
        <v>70.0</v>
      </c>
      <c r="D32" s="5">
        <f t="shared" si="1"/>
        <v>2024</v>
      </c>
      <c r="E32" s="5" t="str">
        <f t="shared" si="2"/>
        <v>May</v>
      </c>
      <c r="F32" s="5">
        <f t="shared" si="3"/>
        <v>5</v>
      </c>
      <c r="G32" s="5" t="str">
        <f t="shared" si="4"/>
        <v>Q2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6">
        <v>45447.0</v>
      </c>
      <c r="B33" s="7" t="s">
        <v>12</v>
      </c>
      <c r="C33" s="8">
        <v>40.0</v>
      </c>
      <c r="D33" s="5">
        <f t="shared" si="1"/>
        <v>2024</v>
      </c>
      <c r="E33" s="5" t="str">
        <f t="shared" si="2"/>
        <v>June</v>
      </c>
      <c r="F33" s="5">
        <f t="shared" si="3"/>
        <v>6</v>
      </c>
      <c r="G33" s="5" t="str">
        <f t="shared" si="4"/>
        <v>Q2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6">
        <v>45447.0</v>
      </c>
      <c r="B34" s="7" t="s">
        <v>12</v>
      </c>
      <c r="C34" s="8">
        <v>220.0</v>
      </c>
      <c r="D34" s="5">
        <f t="shared" si="1"/>
        <v>2024</v>
      </c>
      <c r="E34" s="5" t="str">
        <f t="shared" si="2"/>
        <v>June</v>
      </c>
      <c r="F34" s="5">
        <f t="shared" si="3"/>
        <v>6</v>
      </c>
      <c r="G34" s="5" t="str">
        <f t="shared" si="4"/>
        <v>Q2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6">
        <v>45448.0</v>
      </c>
      <c r="B35" s="7" t="s">
        <v>15</v>
      </c>
      <c r="C35" s="8">
        <v>800.0</v>
      </c>
      <c r="D35" s="5">
        <f t="shared" si="1"/>
        <v>2024</v>
      </c>
      <c r="E35" s="5" t="str">
        <f t="shared" si="2"/>
        <v>June</v>
      </c>
      <c r="F35" s="5">
        <f t="shared" si="3"/>
        <v>6</v>
      </c>
      <c r="G35" s="5" t="str">
        <f t="shared" si="4"/>
        <v>Q2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6">
        <v>45443.0</v>
      </c>
      <c r="B36" s="7" t="s">
        <v>8</v>
      </c>
      <c r="C36" s="8">
        <v>22000.0</v>
      </c>
      <c r="D36" s="5">
        <f t="shared" si="1"/>
        <v>2024</v>
      </c>
      <c r="E36" s="5" t="str">
        <f t="shared" si="2"/>
        <v>May</v>
      </c>
      <c r="F36" s="5">
        <f t="shared" si="3"/>
        <v>5</v>
      </c>
      <c r="G36" s="5" t="str">
        <f t="shared" si="4"/>
        <v>Q2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6">
        <v>45449.0</v>
      </c>
      <c r="B37" s="7" t="s">
        <v>8</v>
      </c>
      <c r="C37" s="8">
        <v>880.0</v>
      </c>
      <c r="D37" s="5">
        <f t="shared" si="1"/>
        <v>2024</v>
      </c>
      <c r="E37" s="5" t="str">
        <f t="shared" si="2"/>
        <v>June</v>
      </c>
      <c r="F37" s="5">
        <f t="shared" si="3"/>
        <v>6</v>
      </c>
      <c r="G37" s="5" t="str">
        <f t="shared" si="4"/>
        <v>Q2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6">
        <v>45450.0</v>
      </c>
      <c r="B38" s="7" t="s">
        <v>7</v>
      </c>
      <c r="C38" s="8">
        <v>100.0</v>
      </c>
      <c r="D38" s="5">
        <f t="shared" si="1"/>
        <v>2024</v>
      </c>
      <c r="E38" s="5" t="str">
        <f t="shared" si="2"/>
        <v>June</v>
      </c>
      <c r="F38" s="5">
        <f t="shared" si="3"/>
        <v>6</v>
      </c>
      <c r="G38" s="5" t="str">
        <f t="shared" si="4"/>
        <v>Q2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6">
        <v>45467.0</v>
      </c>
      <c r="B39" s="7" t="s">
        <v>7</v>
      </c>
      <c r="C39" s="8">
        <v>70.0</v>
      </c>
      <c r="D39" s="5">
        <f t="shared" si="1"/>
        <v>2024</v>
      </c>
      <c r="E39" s="5" t="str">
        <f t="shared" si="2"/>
        <v>June</v>
      </c>
      <c r="F39" s="5">
        <f t="shared" si="3"/>
        <v>6</v>
      </c>
      <c r="G39" s="5" t="str">
        <f t="shared" si="4"/>
        <v>Q2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6">
        <v>45461.0</v>
      </c>
      <c r="B40" s="7" t="s">
        <v>12</v>
      </c>
      <c r="C40" s="8">
        <v>700.0</v>
      </c>
      <c r="D40" s="5">
        <f t="shared" si="1"/>
        <v>2024</v>
      </c>
      <c r="E40" s="5" t="str">
        <f t="shared" si="2"/>
        <v>June</v>
      </c>
      <c r="F40" s="5">
        <f t="shared" si="3"/>
        <v>6</v>
      </c>
      <c r="G40" s="5" t="str">
        <f t="shared" si="4"/>
        <v>Q2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6">
        <v>45465.0</v>
      </c>
      <c r="B41" s="7" t="s">
        <v>7</v>
      </c>
      <c r="C41" s="8">
        <v>70.0</v>
      </c>
      <c r="D41" s="5">
        <f t="shared" si="1"/>
        <v>2024</v>
      </c>
      <c r="E41" s="5" t="str">
        <f t="shared" si="2"/>
        <v>June</v>
      </c>
      <c r="F41" s="5">
        <f t="shared" si="3"/>
        <v>6</v>
      </c>
      <c r="G41" s="5" t="str">
        <f t="shared" si="4"/>
        <v>Q2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6">
        <v>45466.0</v>
      </c>
      <c r="B42" s="7" t="s">
        <v>12</v>
      </c>
      <c r="C42" s="8">
        <v>100.0</v>
      </c>
      <c r="D42" s="5">
        <f t="shared" si="1"/>
        <v>2024</v>
      </c>
      <c r="E42" s="5" t="str">
        <f t="shared" si="2"/>
        <v>June</v>
      </c>
      <c r="F42" s="5">
        <f t="shared" si="3"/>
        <v>6</v>
      </c>
      <c r="G42" s="5" t="str">
        <f t="shared" si="4"/>
        <v>Q2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6">
        <v>45464.0</v>
      </c>
      <c r="B43" s="7" t="s">
        <v>8</v>
      </c>
      <c r="C43" s="8">
        <v>250.0</v>
      </c>
      <c r="D43" s="5">
        <f t="shared" si="1"/>
        <v>2024</v>
      </c>
      <c r="E43" s="5" t="str">
        <f t="shared" si="2"/>
        <v>June</v>
      </c>
      <c r="F43" s="5">
        <f t="shared" si="3"/>
        <v>6</v>
      </c>
      <c r="G43" s="5" t="str">
        <f t="shared" si="4"/>
        <v>Q2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6">
        <v>45467.0</v>
      </c>
      <c r="B44" s="7" t="s">
        <v>15</v>
      </c>
      <c r="C44" s="8">
        <v>6000.0</v>
      </c>
      <c r="D44" s="5">
        <f t="shared" si="1"/>
        <v>2024</v>
      </c>
      <c r="E44" s="5" t="str">
        <f t="shared" si="2"/>
        <v>June</v>
      </c>
      <c r="F44" s="5">
        <f t="shared" si="3"/>
        <v>6</v>
      </c>
      <c r="G44" s="5" t="str">
        <f t="shared" si="4"/>
        <v>Q2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6">
        <v>45467.0</v>
      </c>
      <c r="B45" s="7" t="s">
        <v>8</v>
      </c>
      <c r="C45" s="8">
        <v>520.0</v>
      </c>
      <c r="D45" s="5">
        <f t="shared" si="1"/>
        <v>2024</v>
      </c>
      <c r="E45" s="5" t="str">
        <f t="shared" si="2"/>
        <v>June</v>
      </c>
      <c r="F45" s="5">
        <f t="shared" si="3"/>
        <v>6</v>
      </c>
      <c r="G45" s="5" t="str">
        <f t="shared" si="4"/>
        <v>Q2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6">
        <v>45467.0</v>
      </c>
      <c r="B46" s="7" t="s">
        <v>8</v>
      </c>
      <c r="C46" s="8">
        <v>200.0</v>
      </c>
      <c r="D46" s="5">
        <f t="shared" si="1"/>
        <v>2024</v>
      </c>
      <c r="E46" s="5" t="str">
        <f t="shared" si="2"/>
        <v>June</v>
      </c>
      <c r="F46" s="5">
        <f t="shared" si="3"/>
        <v>6</v>
      </c>
      <c r="G46" s="5" t="str">
        <f t="shared" si="4"/>
        <v>Q2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6">
        <v>45458.0</v>
      </c>
      <c r="B47" s="7" t="s">
        <v>8</v>
      </c>
      <c r="C47" s="8">
        <v>970.0</v>
      </c>
      <c r="D47" s="5">
        <f t="shared" si="1"/>
        <v>2024</v>
      </c>
      <c r="E47" s="5" t="str">
        <f t="shared" si="2"/>
        <v>June</v>
      </c>
      <c r="F47" s="5">
        <f t="shared" si="3"/>
        <v>6</v>
      </c>
      <c r="G47" s="5" t="str">
        <f t="shared" si="4"/>
        <v>Q2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6">
        <v>45457.0</v>
      </c>
      <c r="B48" s="7" t="s">
        <v>8</v>
      </c>
      <c r="C48" s="8">
        <v>800.0</v>
      </c>
      <c r="D48" s="5">
        <f t="shared" si="1"/>
        <v>2024</v>
      </c>
      <c r="E48" s="5" t="str">
        <f t="shared" si="2"/>
        <v>June</v>
      </c>
      <c r="F48" s="5">
        <f t="shared" si="3"/>
        <v>6</v>
      </c>
      <c r="G48" s="5" t="str">
        <f t="shared" si="4"/>
        <v>Q2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6">
        <v>45467.0</v>
      </c>
      <c r="B49" s="7" t="s">
        <v>8</v>
      </c>
      <c r="C49" s="8">
        <v>240.0</v>
      </c>
      <c r="D49" s="5">
        <f t="shared" si="1"/>
        <v>2024</v>
      </c>
      <c r="E49" s="5" t="str">
        <f t="shared" si="2"/>
        <v>June</v>
      </c>
      <c r="F49" s="5">
        <f t="shared" si="3"/>
        <v>6</v>
      </c>
      <c r="G49" s="5" t="str">
        <f t="shared" si="4"/>
        <v>Q2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6">
        <v>45466.0</v>
      </c>
      <c r="B50" s="7" t="s">
        <v>7</v>
      </c>
      <c r="C50" s="8">
        <v>100.0</v>
      </c>
      <c r="D50" s="5">
        <f t="shared" si="1"/>
        <v>2024</v>
      </c>
      <c r="E50" s="5" t="str">
        <f t="shared" si="2"/>
        <v>June</v>
      </c>
      <c r="F50" s="5">
        <f t="shared" si="3"/>
        <v>6</v>
      </c>
      <c r="G50" s="5" t="str">
        <f t="shared" si="4"/>
        <v>Q2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6">
        <v>45465.0</v>
      </c>
      <c r="B51" s="7" t="s">
        <v>9</v>
      </c>
      <c r="C51" s="8">
        <v>70.0</v>
      </c>
      <c r="D51" s="5">
        <f t="shared" si="1"/>
        <v>2024</v>
      </c>
      <c r="E51" s="5" t="str">
        <f t="shared" si="2"/>
        <v>June</v>
      </c>
      <c r="F51" s="5">
        <f t="shared" si="3"/>
        <v>6</v>
      </c>
      <c r="G51" s="5" t="str">
        <f t="shared" si="4"/>
        <v>Q2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6">
        <v>45461.0</v>
      </c>
      <c r="B52" s="7" t="s">
        <v>9</v>
      </c>
      <c r="C52" s="8">
        <v>700.0</v>
      </c>
      <c r="D52" s="5">
        <f t="shared" si="1"/>
        <v>2024</v>
      </c>
      <c r="E52" s="5" t="str">
        <f t="shared" si="2"/>
        <v>June</v>
      </c>
      <c r="F52" s="5">
        <f t="shared" si="3"/>
        <v>6</v>
      </c>
      <c r="G52" s="5" t="str">
        <f t="shared" si="4"/>
        <v>Q2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6">
        <v>45467.0</v>
      </c>
      <c r="B53" s="7" t="s">
        <v>7</v>
      </c>
      <c r="C53" s="8">
        <v>600.0</v>
      </c>
      <c r="D53" s="5">
        <f t="shared" si="1"/>
        <v>2024</v>
      </c>
      <c r="E53" s="5" t="str">
        <f t="shared" si="2"/>
        <v>June</v>
      </c>
      <c r="F53" s="5">
        <f t="shared" si="3"/>
        <v>6</v>
      </c>
      <c r="G53" s="5" t="str">
        <f t="shared" si="4"/>
        <v>Q2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6">
        <v>45450.0</v>
      </c>
      <c r="B54" s="7" t="s">
        <v>7</v>
      </c>
      <c r="C54" s="8">
        <v>70.0</v>
      </c>
      <c r="D54" s="5">
        <f t="shared" si="1"/>
        <v>2024</v>
      </c>
      <c r="E54" s="5" t="str">
        <f t="shared" si="2"/>
        <v>June</v>
      </c>
      <c r="F54" s="5">
        <f t="shared" si="3"/>
        <v>6</v>
      </c>
      <c r="G54" s="5" t="str">
        <f t="shared" si="4"/>
        <v>Q2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6">
        <v>45351.0</v>
      </c>
      <c r="B55" s="7" t="s">
        <v>11</v>
      </c>
      <c r="C55" s="8">
        <v>1000000.0</v>
      </c>
      <c r="D55" s="5">
        <f t="shared" si="1"/>
        <v>2024</v>
      </c>
      <c r="E55" s="5" t="str">
        <f t="shared" si="2"/>
        <v>February</v>
      </c>
      <c r="F55" s="5">
        <f t="shared" si="3"/>
        <v>2</v>
      </c>
      <c r="G55" s="5" t="str">
        <f t="shared" si="4"/>
        <v>Q1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6">
        <v>45470.0</v>
      </c>
      <c r="B56" s="7" t="s">
        <v>7</v>
      </c>
      <c r="C56" s="8">
        <v>180.0</v>
      </c>
      <c r="D56" s="5">
        <f t="shared" si="1"/>
        <v>2024</v>
      </c>
      <c r="E56" s="5" t="str">
        <f t="shared" si="2"/>
        <v>June</v>
      </c>
      <c r="F56" s="5">
        <f t="shared" si="3"/>
        <v>6</v>
      </c>
      <c r="G56" s="5" t="str">
        <f t="shared" si="4"/>
        <v>Q2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6">
        <v>45470.0</v>
      </c>
      <c r="B57" s="7" t="s">
        <v>7</v>
      </c>
      <c r="C57" s="8">
        <v>250.0</v>
      </c>
      <c r="D57" s="5">
        <f t="shared" si="1"/>
        <v>2024</v>
      </c>
      <c r="E57" s="5" t="str">
        <f t="shared" si="2"/>
        <v>June</v>
      </c>
      <c r="F57" s="5">
        <f t="shared" si="3"/>
        <v>6</v>
      </c>
      <c r="G57" s="5" t="str">
        <f t="shared" si="4"/>
        <v>Q2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6">
        <v>45477.0</v>
      </c>
      <c r="B58" s="7" t="s">
        <v>7</v>
      </c>
      <c r="C58" s="8">
        <v>6100.0</v>
      </c>
      <c r="D58" s="5">
        <f t="shared" si="1"/>
        <v>2024</v>
      </c>
      <c r="E58" s="5" t="str">
        <f t="shared" si="2"/>
        <v>July</v>
      </c>
      <c r="F58" s="5">
        <f t="shared" si="3"/>
        <v>7</v>
      </c>
      <c r="G58" s="5" t="str">
        <f t="shared" si="4"/>
        <v>Q3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6">
        <v>45471.0</v>
      </c>
      <c r="B59" s="7" t="s">
        <v>8</v>
      </c>
      <c r="C59" s="8">
        <v>22000.0</v>
      </c>
      <c r="D59" s="5">
        <f t="shared" si="1"/>
        <v>2024</v>
      </c>
      <c r="E59" s="5" t="str">
        <f t="shared" si="2"/>
        <v>June</v>
      </c>
      <c r="F59" s="5">
        <f t="shared" si="3"/>
        <v>6</v>
      </c>
      <c r="G59" s="5" t="str">
        <f t="shared" si="4"/>
        <v>Q2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6">
        <v>45479.0</v>
      </c>
      <c r="B60" s="7" t="s">
        <v>7</v>
      </c>
      <c r="C60" s="8">
        <v>5950.0</v>
      </c>
      <c r="D60" s="5">
        <f t="shared" si="1"/>
        <v>2024</v>
      </c>
      <c r="E60" s="5" t="str">
        <f t="shared" si="2"/>
        <v>July</v>
      </c>
      <c r="F60" s="5">
        <f t="shared" si="3"/>
        <v>7</v>
      </c>
      <c r="G60" s="5" t="str">
        <f t="shared" si="4"/>
        <v>Q3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6">
        <v>45478.0</v>
      </c>
      <c r="B61" s="7" t="s">
        <v>8</v>
      </c>
      <c r="C61" s="8">
        <v>500.0</v>
      </c>
      <c r="D61" s="5">
        <f t="shared" si="1"/>
        <v>2024</v>
      </c>
      <c r="E61" s="5" t="str">
        <f t="shared" si="2"/>
        <v>July</v>
      </c>
      <c r="F61" s="5">
        <f t="shared" si="3"/>
        <v>7</v>
      </c>
      <c r="G61" s="5" t="str">
        <f t="shared" si="4"/>
        <v>Q3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6">
        <v>45482.0</v>
      </c>
      <c r="B62" s="7" t="s">
        <v>16</v>
      </c>
      <c r="C62" s="8">
        <v>1000.0</v>
      </c>
      <c r="D62" s="5">
        <f t="shared" si="1"/>
        <v>2024</v>
      </c>
      <c r="E62" s="5" t="str">
        <f t="shared" si="2"/>
        <v>July</v>
      </c>
      <c r="F62" s="5">
        <f t="shared" si="3"/>
        <v>7</v>
      </c>
      <c r="G62" s="5" t="str">
        <f t="shared" si="4"/>
        <v>Q3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6">
        <v>45483.0</v>
      </c>
      <c r="B63" s="7" t="s">
        <v>15</v>
      </c>
      <c r="C63" s="8">
        <v>1800.0</v>
      </c>
      <c r="D63" s="5">
        <f t="shared" si="1"/>
        <v>2024</v>
      </c>
      <c r="E63" s="5" t="str">
        <f t="shared" si="2"/>
        <v>July</v>
      </c>
      <c r="F63" s="5">
        <f t="shared" si="3"/>
        <v>7</v>
      </c>
      <c r="G63" s="5" t="str">
        <f t="shared" si="4"/>
        <v>Q3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6">
        <v>45480.0</v>
      </c>
      <c r="B64" s="7" t="s">
        <v>13</v>
      </c>
      <c r="C64" s="8">
        <v>270.0</v>
      </c>
      <c r="D64" s="5">
        <f t="shared" si="1"/>
        <v>2024</v>
      </c>
      <c r="E64" s="5" t="str">
        <f t="shared" si="2"/>
        <v>July</v>
      </c>
      <c r="F64" s="5">
        <f t="shared" si="3"/>
        <v>7</v>
      </c>
      <c r="G64" s="5" t="str">
        <f t="shared" si="4"/>
        <v>Q3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6">
        <v>45504.0</v>
      </c>
      <c r="B65" s="7" t="s">
        <v>8</v>
      </c>
      <c r="C65" s="8">
        <v>22000.0</v>
      </c>
      <c r="D65" s="5">
        <f t="shared" si="1"/>
        <v>2024</v>
      </c>
      <c r="E65" s="5" t="str">
        <f t="shared" si="2"/>
        <v>July</v>
      </c>
      <c r="F65" s="5">
        <f t="shared" si="3"/>
        <v>7</v>
      </c>
      <c r="G65" s="5" t="str">
        <f t="shared" si="4"/>
        <v>Q3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6">
        <v>45513.0</v>
      </c>
      <c r="B66" s="7" t="s">
        <v>13</v>
      </c>
      <c r="C66" s="8">
        <v>600.0</v>
      </c>
      <c r="D66" s="5">
        <f t="shared" si="1"/>
        <v>2024</v>
      </c>
      <c r="E66" s="5" t="str">
        <f t="shared" si="2"/>
        <v>August</v>
      </c>
      <c r="F66" s="5">
        <f t="shared" si="3"/>
        <v>8</v>
      </c>
      <c r="G66" s="5" t="str">
        <f t="shared" si="4"/>
        <v>Q3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6">
        <v>45513.0</v>
      </c>
      <c r="B67" s="7" t="s">
        <v>7</v>
      </c>
      <c r="C67" s="8">
        <v>500.0</v>
      </c>
      <c r="D67" s="5">
        <f t="shared" si="1"/>
        <v>2024</v>
      </c>
      <c r="E67" s="5" t="str">
        <f t="shared" si="2"/>
        <v>August</v>
      </c>
      <c r="F67" s="5">
        <f t="shared" si="3"/>
        <v>8</v>
      </c>
      <c r="G67" s="5" t="str">
        <f t="shared" si="4"/>
        <v>Q3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6">
        <v>45512.0</v>
      </c>
      <c r="B68" s="7" t="s">
        <v>8</v>
      </c>
      <c r="C68" s="8">
        <v>500.0</v>
      </c>
      <c r="D68" s="5">
        <f t="shared" si="1"/>
        <v>2024</v>
      </c>
      <c r="E68" s="5" t="str">
        <f t="shared" si="2"/>
        <v>August</v>
      </c>
      <c r="F68" s="5">
        <f t="shared" si="3"/>
        <v>8</v>
      </c>
      <c r="G68" s="5" t="str">
        <f t="shared" si="4"/>
        <v>Q3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6">
        <v>45527.0</v>
      </c>
      <c r="B69" s="7" t="s">
        <v>12</v>
      </c>
      <c r="C69" s="8">
        <v>150.0</v>
      </c>
      <c r="D69" s="5">
        <f t="shared" si="1"/>
        <v>2024</v>
      </c>
      <c r="E69" s="5" t="str">
        <f t="shared" si="2"/>
        <v>August</v>
      </c>
      <c r="F69" s="5">
        <f t="shared" si="3"/>
        <v>8</v>
      </c>
      <c r="G69" s="5" t="str">
        <f t="shared" si="4"/>
        <v>Q3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6">
        <v>45517.0</v>
      </c>
      <c r="B70" s="7" t="s">
        <v>9</v>
      </c>
      <c r="C70" s="8">
        <v>70.0</v>
      </c>
      <c r="D70" s="5">
        <f t="shared" si="1"/>
        <v>2024</v>
      </c>
      <c r="E70" s="5" t="str">
        <f t="shared" si="2"/>
        <v>August</v>
      </c>
      <c r="F70" s="5">
        <f t="shared" si="3"/>
        <v>8</v>
      </c>
      <c r="G70" s="5" t="str">
        <f t="shared" si="4"/>
        <v>Q3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6">
        <v>45519.0</v>
      </c>
      <c r="B71" s="7" t="s">
        <v>13</v>
      </c>
      <c r="C71" s="8">
        <v>100.0</v>
      </c>
      <c r="D71" s="5">
        <f t="shared" si="1"/>
        <v>2024</v>
      </c>
      <c r="E71" s="5" t="str">
        <f t="shared" si="2"/>
        <v>August</v>
      </c>
      <c r="F71" s="5">
        <f t="shared" si="3"/>
        <v>8</v>
      </c>
      <c r="G71" s="5" t="str">
        <f t="shared" si="4"/>
        <v>Q3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6">
        <v>45520.0</v>
      </c>
      <c r="B72" s="7" t="s">
        <v>7</v>
      </c>
      <c r="C72" s="8">
        <v>800.0</v>
      </c>
      <c r="D72" s="5">
        <f t="shared" si="1"/>
        <v>2024</v>
      </c>
      <c r="E72" s="5" t="str">
        <f t="shared" si="2"/>
        <v>August</v>
      </c>
      <c r="F72" s="5">
        <f t="shared" si="3"/>
        <v>8</v>
      </c>
      <c r="G72" s="5" t="str">
        <f t="shared" si="4"/>
        <v>Q3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6">
        <v>45520.0</v>
      </c>
      <c r="B73" s="7" t="s">
        <v>13</v>
      </c>
      <c r="C73" s="8">
        <v>100.0</v>
      </c>
      <c r="D73" s="5">
        <f t="shared" si="1"/>
        <v>2024</v>
      </c>
      <c r="E73" s="5" t="str">
        <f t="shared" si="2"/>
        <v>August</v>
      </c>
      <c r="F73" s="5">
        <f t="shared" si="3"/>
        <v>8</v>
      </c>
      <c r="G73" s="5" t="str">
        <f t="shared" si="4"/>
        <v>Q3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6">
        <v>45535.0</v>
      </c>
      <c r="B74" s="7" t="s">
        <v>8</v>
      </c>
      <c r="C74" s="8">
        <v>24000.0</v>
      </c>
      <c r="D74" s="5">
        <f t="shared" si="1"/>
        <v>2024</v>
      </c>
      <c r="E74" s="5" t="str">
        <f t="shared" si="2"/>
        <v>August</v>
      </c>
      <c r="F74" s="5">
        <f t="shared" si="3"/>
        <v>8</v>
      </c>
      <c r="G74" s="5" t="str">
        <f t="shared" si="4"/>
        <v>Q3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6">
        <v>45520.0</v>
      </c>
      <c r="B75" s="7" t="s">
        <v>17</v>
      </c>
      <c r="C75" s="8">
        <v>2500.0</v>
      </c>
      <c r="D75" s="5">
        <f t="shared" si="1"/>
        <v>2024</v>
      </c>
      <c r="E75" s="5" t="str">
        <f t="shared" si="2"/>
        <v>August</v>
      </c>
      <c r="F75" s="5">
        <f t="shared" si="3"/>
        <v>8</v>
      </c>
      <c r="G75" s="5" t="str">
        <f t="shared" si="4"/>
        <v>Q3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6">
        <v>45520.0</v>
      </c>
      <c r="B76" s="7" t="s">
        <v>14</v>
      </c>
      <c r="C76" s="8">
        <v>20000.0</v>
      </c>
      <c r="D76" s="5">
        <f t="shared" si="1"/>
        <v>2024</v>
      </c>
      <c r="E76" s="5" t="str">
        <f t="shared" si="2"/>
        <v>August</v>
      </c>
      <c r="F76" s="5">
        <f t="shared" si="3"/>
        <v>8</v>
      </c>
      <c r="G76" s="5" t="str">
        <f t="shared" si="4"/>
        <v>Q3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6">
        <v>45528.0</v>
      </c>
      <c r="B77" s="7" t="s">
        <v>7</v>
      </c>
      <c r="C77" s="8">
        <v>510.0</v>
      </c>
      <c r="D77" s="5">
        <f t="shared" si="1"/>
        <v>2024</v>
      </c>
      <c r="E77" s="5" t="str">
        <f t="shared" si="2"/>
        <v>August</v>
      </c>
      <c r="F77" s="5">
        <f t="shared" si="3"/>
        <v>8</v>
      </c>
      <c r="G77" s="5" t="str">
        <f t="shared" si="4"/>
        <v>Q3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6">
        <v>45529.0</v>
      </c>
      <c r="B78" s="7" t="s">
        <v>13</v>
      </c>
      <c r="C78" s="8">
        <v>200.0</v>
      </c>
      <c r="D78" s="5">
        <f t="shared" si="1"/>
        <v>2024</v>
      </c>
      <c r="E78" s="5" t="str">
        <f t="shared" si="2"/>
        <v>August</v>
      </c>
      <c r="F78" s="5">
        <f t="shared" si="3"/>
        <v>8</v>
      </c>
      <c r="G78" s="5" t="str">
        <f t="shared" si="4"/>
        <v>Q3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6">
        <v>45530.0</v>
      </c>
      <c r="B79" s="7" t="s">
        <v>7</v>
      </c>
      <c r="C79" s="8">
        <v>90.0</v>
      </c>
      <c r="D79" s="5">
        <f t="shared" si="1"/>
        <v>2024</v>
      </c>
      <c r="E79" s="5" t="str">
        <f t="shared" si="2"/>
        <v>August</v>
      </c>
      <c r="F79" s="5">
        <f t="shared" si="3"/>
        <v>8</v>
      </c>
      <c r="G79" s="5" t="str">
        <f t="shared" si="4"/>
        <v>Q3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6">
        <v>45530.0</v>
      </c>
      <c r="B80" s="7" t="s">
        <v>7</v>
      </c>
      <c r="C80" s="8">
        <v>500.0</v>
      </c>
      <c r="D80" s="5">
        <f t="shared" si="1"/>
        <v>2024</v>
      </c>
      <c r="E80" s="5" t="str">
        <f t="shared" si="2"/>
        <v>August</v>
      </c>
      <c r="F80" s="5">
        <f t="shared" si="3"/>
        <v>8</v>
      </c>
      <c r="G80" s="5" t="str">
        <f t="shared" si="4"/>
        <v>Q3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6">
        <v>45531.0</v>
      </c>
      <c r="B81" s="7" t="s">
        <v>10</v>
      </c>
      <c r="C81" s="8">
        <v>169.0</v>
      </c>
      <c r="D81" s="5">
        <f t="shared" si="1"/>
        <v>2024</v>
      </c>
      <c r="E81" s="5" t="str">
        <f t="shared" si="2"/>
        <v>August</v>
      </c>
      <c r="F81" s="5">
        <f t="shared" si="3"/>
        <v>8</v>
      </c>
      <c r="G81" s="5" t="str">
        <f t="shared" si="4"/>
        <v>Q3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6">
        <v>45534.0</v>
      </c>
      <c r="B82" s="7" t="s">
        <v>7</v>
      </c>
      <c r="C82" s="8">
        <v>50.0</v>
      </c>
      <c r="D82" s="5">
        <f t="shared" si="1"/>
        <v>2024</v>
      </c>
      <c r="E82" s="5" t="str">
        <f t="shared" si="2"/>
        <v>August</v>
      </c>
      <c r="F82" s="5">
        <f t="shared" si="3"/>
        <v>8</v>
      </c>
      <c r="G82" s="5" t="str">
        <f t="shared" si="4"/>
        <v>Q3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6">
        <v>45534.0</v>
      </c>
      <c r="B83" s="7" t="s">
        <v>9</v>
      </c>
      <c r="C83" s="8">
        <v>40.0</v>
      </c>
      <c r="D83" s="5">
        <f t="shared" si="1"/>
        <v>2024</v>
      </c>
      <c r="E83" s="5" t="str">
        <f t="shared" si="2"/>
        <v>August</v>
      </c>
      <c r="F83" s="5">
        <f t="shared" si="3"/>
        <v>8</v>
      </c>
      <c r="G83" s="5" t="str">
        <f t="shared" si="4"/>
        <v>Q3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6">
        <v>45534.0</v>
      </c>
      <c r="B84" s="7" t="s">
        <v>13</v>
      </c>
      <c r="C84" s="8">
        <v>100.0</v>
      </c>
      <c r="D84" s="5">
        <f t="shared" si="1"/>
        <v>2024</v>
      </c>
      <c r="E84" s="5" t="str">
        <f t="shared" si="2"/>
        <v>August</v>
      </c>
      <c r="F84" s="5">
        <f t="shared" si="3"/>
        <v>8</v>
      </c>
      <c r="G84" s="5" t="str">
        <f t="shared" si="4"/>
        <v>Q3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6">
        <v>45535.0</v>
      </c>
      <c r="B85" s="7" t="s">
        <v>13</v>
      </c>
      <c r="C85" s="8">
        <v>100.0</v>
      </c>
      <c r="D85" s="5">
        <f t="shared" si="1"/>
        <v>2024</v>
      </c>
      <c r="E85" s="5" t="str">
        <f t="shared" si="2"/>
        <v>August</v>
      </c>
      <c r="F85" s="5">
        <f t="shared" si="3"/>
        <v>8</v>
      </c>
      <c r="G85" s="5" t="str">
        <f t="shared" si="4"/>
        <v>Q3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6">
        <v>45537.0</v>
      </c>
      <c r="B86" s="7" t="s">
        <v>7</v>
      </c>
      <c r="C86" s="8">
        <v>330.0</v>
      </c>
      <c r="D86" s="5">
        <f t="shared" si="1"/>
        <v>2024</v>
      </c>
      <c r="E86" s="5" t="str">
        <f t="shared" si="2"/>
        <v>September</v>
      </c>
      <c r="F86" s="5">
        <f t="shared" si="3"/>
        <v>9</v>
      </c>
      <c r="G86" s="5" t="str">
        <f t="shared" si="4"/>
        <v>Q3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6">
        <v>45538.0</v>
      </c>
      <c r="B87" s="7" t="s">
        <v>9</v>
      </c>
      <c r="C87" s="8">
        <v>1000.0</v>
      </c>
      <c r="D87" s="5">
        <f t="shared" si="1"/>
        <v>2024</v>
      </c>
      <c r="E87" s="5" t="str">
        <f t="shared" si="2"/>
        <v>September</v>
      </c>
      <c r="F87" s="5">
        <f t="shared" si="3"/>
        <v>9</v>
      </c>
      <c r="G87" s="5" t="str">
        <f t="shared" si="4"/>
        <v>Q3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6">
        <v>45538.0</v>
      </c>
      <c r="B88" s="7" t="s">
        <v>9</v>
      </c>
      <c r="C88" s="8">
        <v>170.0</v>
      </c>
      <c r="D88" s="5">
        <f t="shared" si="1"/>
        <v>2024</v>
      </c>
      <c r="E88" s="5" t="str">
        <f t="shared" si="2"/>
        <v>September</v>
      </c>
      <c r="F88" s="5">
        <f t="shared" si="3"/>
        <v>9</v>
      </c>
      <c r="G88" s="5" t="str">
        <f t="shared" si="4"/>
        <v>Q3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6">
        <v>45540.0</v>
      </c>
      <c r="B89" s="7" t="s">
        <v>13</v>
      </c>
      <c r="C89" s="8">
        <v>100.0</v>
      </c>
      <c r="D89" s="5">
        <f t="shared" si="1"/>
        <v>2024</v>
      </c>
      <c r="E89" s="5" t="str">
        <f t="shared" si="2"/>
        <v>September</v>
      </c>
      <c r="F89" s="5">
        <f t="shared" si="3"/>
        <v>9</v>
      </c>
      <c r="G89" s="5" t="str">
        <f t="shared" si="4"/>
        <v>Q3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6">
        <v>45541.0</v>
      </c>
      <c r="B90" s="7" t="s">
        <v>9</v>
      </c>
      <c r="C90" s="8">
        <v>250.0</v>
      </c>
      <c r="D90" s="5">
        <f t="shared" si="1"/>
        <v>2024</v>
      </c>
      <c r="E90" s="5" t="str">
        <f t="shared" si="2"/>
        <v>September</v>
      </c>
      <c r="F90" s="5">
        <f t="shared" si="3"/>
        <v>9</v>
      </c>
      <c r="G90" s="5" t="str">
        <f t="shared" si="4"/>
        <v>Q3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6">
        <v>45542.0</v>
      </c>
      <c r="B91" s="7" t="s">
        <v>9</v>
      </c>
      <c r="C91" s="8">
        <v>305.0</v>
      </c>
      <c r="D91" s="5">
        <f t="shared" si="1"/>
        <v>2024</v>
      </c>
      <c r="E91" s="5" t="str">
        <f t="shared" si="2"/>
        <v>September</v>
      </c>
      <c r="F91" s="5">
        <f t="shared" si="3"/>
        <v>9</v>
      </c>
      <c r="G91" s="5" t="str">
        <f t="shared" si="4"/>
        <v>Q3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6">
        <v>45542.0</v>
      </c>
      <c r="B92" s="7" t="s">
        <v>10</v>
      </c>
      <c r="C92" s="8">
        <v>170.0</v>
      </c>
      <c r="D92" s="5">
        <f t="shared" si="1"/>
        <v>2024</v>
      </c>
      <c r="E92" s="5" t="str">
        <f t="shared" si="2"/>
        <v>September</v>
      </c>
      <c r="F92" s="5">
        <f t="shared" si="3"/>
        <v>9</v>
      </c>
      <c r="G92" s="5" t="str">
        <f t="shared" si="4"/>
        <v>Q3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6">
        <v>45544.0</v>
      </c>
      <c r="B93" s="7" t="s">
        <v>13</v>
      </c>
      <c r="C93" s="8">
        <v>150.0</v>
      </c>
      <c r="D93" s="5">
        <f t="shared" si="1"/>
        <v>2024</v>
      </c>
      <c r="E93" s="5" t="str">
        <f t="shared" si="2"/>
        <v>September</v>
      </c>
      <c r="F93" s="5">
        <f t="shared" si="3"/>
        <v>9</v>
      </c>
      <c r="G93" s="5" t="str">
        <f t="shared" si="4"/>
        <v>Q3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6">
        <v>45411.0</v>
      </c>
      <c r="B94" s="7" t="s">
        <v>9</v>
      </c>
      <c r="C94" s="8">
        <v>7800.0</v>
      </c>
      <c r="D94" s="5">
        <f t="shared" si="1"/>
        <v>2024</v>
      </c>
      <c r="E94" s="5" t="str">
        <f t="shared" si="2"/>
        <v>April</v>
      </c>
      <c r="F94" s="5">
        <f t="shared" si="3"/>
        <v>4</v>
      </c>
      <c r="G94" s="5" t="str">
        <f t="shared" si="4"/>
        <v>Q2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6">
        <v>45474.0</v>
      </c>
      <c r="B95" s="7" t="s">
        <v>9</v>
      </c>
      <c r="C95" s="8">
        <v>5950.0</v>
      </c>
      <c r="D95" s="5">
        <f t="shared" si="1"/>
        <v>2024</v>
      </c>
      <c r="E95" s="5" t="str">
        <f t="shared" si="2"/>
        <v>July</v>
      </c>
      <c r="F95" s="5">
        <f t="shared" si="3"/>
        <v>7</v>
      </c>
      <c r="G95" s="5" t="str">
        <f t="shared" si="4"/>
        <v>Q3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6">
        <v>45507.0</v>
      </c>
      <c r="B96" s="7" t="s">
        <v>9</v>
      </c>
      <c r="C96" s="8">
        <v>9870.0</v>
      </c>
      <c r="D96" s="5">
        <f t="shared" si="1"/>
        <v>2024</v>
      </c>
      <c r="E96" s="5" t="str">
        <f t="shared" si="2"/>
        <v>August</v>
      </c>
      <c r="F96" s="5">
        <f t="shared" si="3"/>
        <v>8</v>
      </c>
      <c r="G96" s="5" t="str">
        <f t="shared" si="4"/>
        <v>Q3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6">
        <v>45565.0</v>
      </c>
      <c r="B97" s="7" t="s">
        <v>8</v>
      </c>
      <c r="C97" s="8">
        <v>20000.0</v>
      </c>
      <c r="D97" s="5">
        <f t="shared" si="1"/>
        <v>2024</v>
      </c>
      <c r="E97" s="5" t="str">
        <f t="shared" si="2"/>
        <v>September</v>
      </c>
      <c r="F97" s="5">
        <f t="shared" si="3"/>
        <v>9</v>
      </c>
      <c r="G97" s="5" t="str">
        <f t="shared" si="4"/>
        <v>Q3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6">
        <v>45566.0</v>
      </c>
      <c r="B98" s="7" t="s">
        <v>15</v>
      </c>
      <c r="C98" s="8">
        <v>500.0</v>
      </c>
      <c r="D98" s="5">
        <f t="shared" si="1"/>
        <v>2024</v>
      </c>
      <c r="E98" s="5" t="str">
        <f t="shared" si="2"/>
        <v>October</v>
      </c>
      <c r="F98" s="5">
        <f t="shared" si="3"/>
        <v>10</v>
      </c>
      <c r="G98" s="5" t="str">
        <f t="shared" si="4"/>
        <v>Q4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6">
        <v>45568.0</v>
      </c>
      <c r="B99" s="7" t="s">
        <v>9</v>
      </c>
      <c r="C99" s="8">
        <v>1050.0</v>
      </c>
      <c r="D99" s="5">
        <f t="shared" si="1"/>
        <v>2024</v>
      </c>
      <c r="E99" s="5" t="str">
        <f t="shared" si="2"/>
        <v>October</v>
      </c>
      <c r="F99" s="5">
        <f t="shared" si="3"/>
        <v>10</v>
      </c>
      <c r="G99" s="5" t="str">
        <f t="shared" si="4"/>
        <v>Q4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6">
        <v>45572.0</v>
      </c>
      <c r="B100" s="7" t="s">
        <v>9</v>
      </c>
      <c r="C100" s="8">
        <v>310.0</v>
      </c>
      <c r="D100" s="5">
        <f t="shared" si="1"/>
        <v>2024</v>
      </c>
      <c r="E100" s="5" t="str">
        <f t="shared" si="2"/>
        <v>October</v>
      </c>
      <c r="F100" s="5">
        <f t="shared" si="3"/>
        <v>10</v>
      </c>
      <c r="G100" s="5" t="str">
        <f t="shared" si="4"/>
        <v>Q4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6">
        <v>45574.0</v>
      </c>
      <c r="B101" s="7" t="s">
        <v>18</v>
      </c>
      <c r="C101" s="8">
        <v>150.0</v>
      </c>
      <c r="D101" s="5">
        <f t="shared" si="1"/>
        <v>2024</v>
      </c>
      <c r="E101" s="5" t="str">
        <f t="shared" si="2"/>
        <v>October</v>
      </c>
      <c r="F101" s="5">
        <f t="shared" si="3"/>
        <v>10</v>
      </c>
      <c r="G101" s="5" t="str">
        <f t="shared" si="4"/>
        <v>Q4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6">
        <v>45575.0</v>
      </c>
      <c r="B102" s="7" t="s">
        <v>9</v>
      </c>
      <c r="C102" s="8">
        <v>325.0</v>
      </c>
      <c r="D102" s="5">
        <f t="shared" si="1"/>
        <v>2024</v>
      </c>
      <c r="E102" s="5" t="str">
        <f t="shared" si="2"/>
        <v>October</v>
      </c>
      <c r="F102" s="5">
        <f t="shared" si="3"/>
        <v>10</v>
      </c>
      <c r="G102" s="5" t="str">
        <f t="shared" si="4"/>
        <v>Q4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6">
        <v>45596.0</v>
      </c>
      <c r="B103" s="7" t="s">
        <v>8</v>
      </c>
      <c r="C103" s="8">
        <v>30000.0</v>
      </c>
      <c r="D103" s="5">
        <f t="shared" si="1"/>
        <v>2024</v>
      </c>
      <c r="E103" s="5" t="str">
        <f t="shared" si="2"/>
        <v>October</v>
      </c>
      <c r="F103" s="5">
        <f t="shared" si="3"/>
        <v>10</v>
      </c>
      <c r="G103" s="5" t="str">
        <f t="shared" si="4"/>
        <v>Q4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6">
        <v>45596.0</v>
      </c>
      <c r="B104" s="7" t="s">
        <v>19</v>
      </c>
      <c r="C104" s="8">
        <v>20000.0</v>
      </c>
      <c r="D104" s="5">
        <f t="shared" si="1"/>
        <v>2024</v>
      </c>
      <c r="E104" s="5" t="str">
        <f t="shared" si="2"/>
        <v>October</v>
      </c>
      <c r="F104" s="5">
        <f t="shared" si="3"/>
        <v>10</v>
      </c>
      <c r="G104" s="5" t="str">
        <f t="shared" si="4"/>
        <v>Q4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6">
        <v>45603.0</v>
      </c>
      <c r="B105" s="7" t="s">
        <v>20</v>
      </c>
      <c r="C105" s="8">
        <v>8000.0</v>
      </c>
      <c r="D105" s="5">
        <f t="shared" si="1"/>
        <v>2024</v>
      </c>
      <c r="E105" s="5" t="str">
        <f t="shared" si="2"/>
        <v>November</v>
      </c>
      <c r="F105" s="5">
        <f t="shared" si="3"/>
        <v>11</v>
      </c>
      <c r="G105" s="5" t="str">
        <f t="shared" si="4"/>
        <v>Q4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6">
        <v>45602.0</v>
      </c>
      <c r="B106" s="7" t="s">
        <v>21</v>
      </c>
      <c r="C106" s="8">
        <v>20660.0</v>
      </c>
      <c r="D106" s="5">
        <f t="shared" si="1"/>
        <v>2024</v>
      </c>
      <c r="E106" s="5" t="str">
        <f t="shared" si="2"/>
        <v>November</v>
      </c>
      <c r="F106" s="5">
        <f t="shared" si="3"/>
        <v>11</v>
      </c>
      <c r="G106" s="5" t="str">
        <f t="shared" si="4"/>
        <v>Q4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6">
        <v>45596.0</v>
      </c>
      <c r="B107" s="7" t="s">
        <v>22</v>
      </c>
      <c r="C107" s="8">
        <v>2700.0</v>
      </c>
      <c r="D107" s="5">
        <f t="shared" si="1"/>
        <v>2024</v>
      </c>
      <c r="E107" s="5" t="str">
        <f t="shared" si="2"/>
        <v>October</v>
      </c>
      <c r="F107" s="5">
        <f t="shared" si="3"/>
        <v>10</v>
      </c>
      <c r="G107" s="5" t="str">
        <f t="shared" si="4"/>
        <v>Q4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6">
        <v>45640.0</v>
      </c>
      <c r="B108" s="7" t="s">
        <v>23</v>
      </c>
      <c r="C108" s="8">
        <v>11150.0</v>
      </c>
      <c r="D108" s="5">
        <f t="shared" si="1"/>
        <v>2024</v>
      </c>
      <c r="E108" s="5" t="str">
        <f t="shared" si="2"/>
        <v>December</v>
      </c>
      <c r="F108" s="5">
        <f t="shared" si="3"/>
        <v>12</v>
      </c>
      <c r="G108" s="5" t="str">
        <f t="shared" si="4"/>
        <v>Q4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6">
        <v>45626.0</v>
      </c>
      <c r="B109" s="7" t="s">
        <v>8</v>
      </c>
      <c r="C109" s="8">
        <v>30000.0</v>
      </c>
      <c r="D109" s="5">
        <f t="shared" si="1"/>
        <v>2024</v>
      </c>
      <c r="E109" s="5" t="str">
        <f t="shared" si="2"/>
        <v>November</v>
      </c>
      <c r="F109" s="5">
        <f t="shared" si="3"/>
        <v>11</v>
      </c>
      <c r="G109" s="5" t="str">
        <f t="shared" si="4"/>
        <v>Q4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6">
        <v>45626.0</v>
      </c>
      <c r="B110" s="7" t="s">
        <v>19</v>
      </c>
      <c r="C110" s="8">
        <v>10000.0</v>
      </c>
      <c r="D110" s="5">
        <f t="shared" si="1"/>
        <v>2024</v>
      </c>
      <c r="E110" s="5" t="str">
        <f t="shared" si="2"/>
        <v>November</v>
      </c>
      <c r="F110" s="5">
        <f t="shared" si="3"/>
        <v>11</v>
      </c>
      <c r="G110" s="5" t="str">
        <f t="shared" si="4"/>
        <v>Q4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6">
        <v>45653.0</v>
      </c>
      <c r="B111" s="7" t="s">
        <v>8</v>
      </c>
      <c r="C111" s="8">
        <v>30000.0</v>
      </c>
      <c r="D111" s="5">
        <f t="shared" si="1"/>
        <v>2024</v>
      </c>
      <c r="E111" s="5" t="str">
        <f t="shared" si="2"/>
        <v>December</v>
      </c>
      <c r="F111" s="5">
        <f t="shared" si="3"/>
        <v>12</v>
      </c>
      <c r="G111" s="5" t="str">
        <f t="shared" si="4"/>
        <v>Q4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6">
        <v>45645.0</v>
      </c>
      <c r="B112" s="7" t="s">
        <v>24</v>
      </c>
      <c r="C112" s="8">
        <v>180.0</v>
      </c>
      <c r="D112" s="5">
        <f t="shared" si="1"/>
        <v>2024</v>
      </c>
      <c r="E112" s="5" t="str">
        <f t="shared" si="2"/>
        <v>December</v>
      </c>
      <c r="F112" s="5">
        <f t="shared" si="3"/>
        <v>12</v>
      </c>
      <c r="G112" s="5" t="str">
        <f t="shared" si="4"/>
        <v>Q4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6">
        <v>45636.0</v>
      </c>
      <c r="B113" s="7" t="s">
        <v>25</v>
      </c>
      <c r="C113" s="8">
        <v>150.0</v>
      </c>
      <c r="D113" s="5">
        <f t="shared" si="1"/>
        <v>2024</v>
      </c>
      <c r="E113" s="5" t="str">
        <f t="shared" si="2"/>
        <v>December</v>
      </c>
      <c r="F113" s="5">
        <f t="shared" si="3"/>
        <v>12</v>
      </c>
      <c r="G113" s="5" t="str">
        <f t="shared" si="4"/>
        <v>Q4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6">
        <v>45637.0</v>
      </c>
      <c r="B114" s="7" t="s">
        <v>26</v>
      </c>
      <c r="C114" s="8">
        <v>200.0</v>
      </c>
      <c r="D114" s="5">
        <f t="shared" si="1"/>
        <v>2024</v>
      </c>
      <c r="E114" s="5" t="str">
        <f t="shared" si="2"/>
        <v>December</v>
      </c>
      <c r="F114" s="5">
        <f t="shared" si="3"/>
        <v>12</v>
      </c>
      <c r="G114" s="5" t="str">
        <f t="shared" si="4"/>
        <v>Q4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6">
        <v>45637.0</v>
      </c>
      <c r="B115" s="7" t="s">
        <v>27</v>
      </c>
      <c r="C115" s="8">
        <v>180.0</v>
      </c>
      <c r="D115" s="5">
        <f t="shared" si="1"/>
        <v>2024</v>
      </c>
      <c r="E115" s="5" t="str">
        <f t="shared" si="2"/>
        <v>December</v>
      </c>
      <c r="F115" s="5">
        <f t="shared" si="3"/>
        <v>12</v>
      </c>
      <c r="G115" s="5" t="str">
        <f t="shared" si="4"/>
        <v>Q4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6">
        <v>45640.0</v>
      </c>
      <c r="B116" s="7" t="s">
        <v>28</v>
      </c>
      <c r="C116" s="8">
        <v>150.0</v>
      </c>
      <c r="D116" s="5">
        <f t="shared" si="1"/>
        <v>2024</v>
      </c>
      <c r="E116" s="5" t="str">
        <f t="shared" si="2"/>
        <v>December</v>
      </c>
      <c r="F116" s="5">
        <f t="shared" si="3"/>
        <v>12</v>
      </c>
      <c r="G116" s="5" t="str">
        <f t="shared" si="4"/>
        <v>Q4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6">
        <v>45578.0</v>
      </c>
      <c r="B117" s="7" t="s">
        <v>13</v>
      </c>
      <c r="C117" s="8">
        <v>100.0</v>
      </c>
      <c r="D117" s="5">
        <f t="shared" si="1"/>
        <v>2024</v>
      </c>
      <c r="E117" s="5" t="str">
        <f t="shared" si="2"/>
        <v>October</v>
      </c>
      <c r="F117" s="5">
        <f t="shared" si="3"/>
        <v>10</v>
      </c>
      <c r="G117" s="5" t="str">
        <f t="shared" si="4"/>
        <v>Q4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6">
        <v>45581.0</v>
      </c>
      <c r="B118" s="7" t="s">
        <v>9</v>
      </c>
      <c r="C118" s="8">
        <v>249.0</v>
      </c>
      <c r="D118" s="5">
        <f t="shared" si="1"/>
        <v>2024</v>
      </c>
      <c r="E118" s="5" t="str">
        <f t="shared" si="2"/>
        <v>October</v>
      </c>
      <c r="F118" s="5">
        <f t="shared" si="3"/>
        <v>10</v>
      </c>
      <c r="G118" s="5" t="str">
        <f t="shared" si="4"/>
        <v>Q4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6">
        <v>45581.0</v>
      </c>
      <c r="B119" s="7" t="s">
        <v>13</v>
      </c>
      <c r="C119" s="8">
        <v>50.0</v>
      </c>
      <c r="D119" s="5">
        <f t="shared" si="1"/>
        <v>2024</v>
      </c>
      <c r="E119" s="5" t="str">
        <f t="shared" si="2"/>
        <v>October</v>
      </c>
      <c r="F119" s="5">
        <f t="shared" si="3"/>
        <v>10</v>
      </c>
      <c r="G119" s="5" t="str">
        <f t="shared" si="4"/>
        <v>Q4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6">
        <v>45582.0</v>
      </c>
      <c r="B120" s="7" t="s">
        <v>23</v>
      </c>
      <c r="C120" s="8">
        <v>300.0</v>
      </c>
      <c r="D120" s="5">
        <f t="shared" si="1"/>
        <v>2024</v>
      </c>
      <c r="E120" s="5" t="str">
        <f t="shared" si="2"/>
        <v>October</v>
      </c>
      <c r="F120" s="5">
        <f t="shared" si="3"/>
        <v>10</v>
      </c>
      <c r="G120" s="5" t="str">
        <f t="shared" si="4"/>
        <v>Q4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6">
        <v>45582.0</v>
      </c>
      <c r="B121" s="7" t="s">
        <v>9</v>
      </c>
      <c r="C121" s="8">
        <v>149.0</v>
      </c>
      <c r="D121" s="5">
        <f t="shared" si="1"/>
        <v>2024</v>
      </c>
      <c r="E121" s="5" t="str">
        <f t="shared" si="2"/>
        <v>October</v>
      </c>
      <c r="F121" s="5">
        <f t="shared" si="3"/>
        <v>10</v>
      </c>
      <c r="G121" s="5" t="str">
        <f t="shared" si="4"/>
        <v>Q4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6">
        <v>45583.0</v>
      </c>
      <c r="B122" s="7" t="s">
        <v>13</v>
      </c>
      <c r="C122" s="8">
        <v>250.0</v>
      </c>
      <c r="D122" s="5">
        <f t="shared" si="1"/>
        <v>2024</v>
      </c>
      <c r="E122" s="5" t="str">
        <f t="shared" si="2"/>
        <v>October</v>
      </c>
      <c r="F122" s="5">
        <f t="shared" si="3"/>
        <v>10</v>
      </c>
      <c r="G122" s="5" t="str">
        <f t="shared" si="4"/>
        <v>Q4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6">
        <v>45585.0</v>
      </c>
      <c r="B123" s="7" t="s">
        <v>13</v>
      </c>
      <c r="C123" s="8">
        <v>100.0</v>
      </c>
      <c r="D123" s="5">
        <f t="shared" si="1"/>
        <v>2024</v>
      </c>
      <c r="E123" s="5" t="str">
        <f t="shared" si="2"/>
        <v>October</v>
      </c>
      <c r="F123" s="5">
        <f t="shared" si="3"/>
        <v>10</v>
      </c>
      <c r="G123" s="5" t="str">
        <f t="shared" si="4"/>
        <v>Q4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6">
        <v>45587.0</v>
      </c>
      <c r="B124" s="7" t="s">
        <v>9</v>
      </c>
      <c r="C124" s="8">
        <v>160.0</v>
      </c>
      <c r="D124" s="5">
        <f t="shared" si="1"/>
        <v>2024</v>
      </c>
      <c r="E124" s="5" t="str">
        <f t="shared" si="2"/>
        <v>October</v>
      </c>
      <c r="F124" s="5">
        <f t="shared" si="3"/>
        <v>10</v>
      </c>
      <c r="G124" s="5" t="str">
        <f t="shared" si="4"/>
        <v>Q4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6">
        <v>45587.0</v>
      </c>
      <c r="B125" s="7" t="s">
        <v>13</v>
      </c>
      <c r="C125" s="8">
        <v>100.0</v>
      </c>
      <c r="D125" s="5">
        <f t="shared" si="1"/>
        <v>2024</v>
      </c>
      <c r="E125" s="5" t="str">
        <f t="shared" si="2"/>
        <v>October</v>
      </c>
      <c r="F125" s="5">
        <f t="shared" si="3"/>
        <v>10</v>
      </c>
      <c r="G125" s="5" t="str">
        <f t="shared" si="4"/>
        <v>Q4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6">
        <v>45588.0</v>
      </c>
      <c r="B126" s="7" t="s">
        <v>13</v>
      </c>
      <c r="C126" s="8">
        <v>100.0</v>
      </c>
      <c r="D126" s="5">
        <f t="shared" si="1"/>
        <v>2024</v>
      </c>
      <c r="E126" s="5" t="str">
        <f t="shared" si="2"/>
        <v>October</v>
      </c>
      <c r="F126" s="5">
        <f t="shared" si="3"/>
        <v>10</v>
      </c>
      <c r="G126" s="5" t="str">
        <f t="shared" si="4"/>
        <v>Q4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6">
        <v>45649.0</v>
      </c>
      <c r="B127" s="7" t="s">
        <v>9</v>
      </c>
      <c r="C127" s="8">
        <v>150.0</v>
      </c>
      <c r="D127" s="5">
        <f t="shared" si="1"/>
        <v>2024</v>
      </c>
      <c r="E127" s="5" t="str">
        <f t="shared" si="2"/>
        <v>December</v>
      </c>
      <c r="F127" s="5">
        <f t="shared" si="3"/>
        <v>12</v>
      </c>
      <c r="G127" s="5" t="str">
        <f t="shared" si="4"/>
        <v>Q4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6">
        <v>45588.0</v>
      </c>
      <c r="B128" s="7" t="s">
        <v>10</v>
      </c>
      <c r="C128" s="8">
        <v>150.0</v>
      </c>
      <c r="D128" s="5">
        <f t="shared" si="1"/>
        <v>2024</v>
      </c>
      <c r="E128" s="5" t="str">
        <f t="shared" si="2"/>
        <v>October</v>
      </c>
      <c r="F128" s="5">
        <f t="shared" si="3"/>
        <v>10</v>
      </c>
      <c r="G128" s="5" t="str">
        <f t="shared" si="4"/>
        <v>Q4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6">
        <v>45589.0</v>
      </c>
      <c r="B129" s="7" t="s">
        <v>23</v>
      </c>
      <c r="C129" s="8">
        <v>850.0</v>
      </c>
      <c r="D129" s="5">
        <f t="shared" si="1"/>
        <v>2024</v>
      </c>
      <c r="E129" s="5" t="str">
        <f t="shared" si="2"/>
        <v>October</v>
      </c>
      <c r="F129" s="5">
        <f t="shared" si="3"/>
        <v>10</v>
      </c>
      <c r="G129" s="5" t="str">
        <f t="shared" si="4"/>
        <v>Q4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6">
        <v>45593.0</v>
      </c>
      <c r="B130" s="7" t="s">
        <v>13</v>
      </c>
      <c r="C130" s="8">
        <v>100.0</v>
      </c>
      <c r="D130" s="5">
        <f t="shared" si="1"/>
        <v>2024</v>
      </c>
      <c r="E130" s="5" t="str">
        <f t="shared" si="2"/>
        <v>October</v>
      </c>
      <c r="F130" s="5">
        <f t="shared" si="3"/>
        <v>10</v>
      </c>
      <c r="G130" s="5" t="str">
        <f t="shared" si="4"/>
        <v>Q4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6">
        <v>45594.0</v>
      </c>
      <c r="B131" s="7" t="s">
        <v>9</v>
      </c>
      <c r="C131" s="8">
        <v>250.0</v>
      </c>
      <c r="D131" s="5">
        <f t="shared" si="1"/>
        <v>2024</v>
      </c>
      <c r="E131" s="5" t="str">
        <f t="shared" si="2"/>
        <v>October</v>
      </c>
      <c r="F131" s="5">
        <f t="shared" si="3"/>
        <v>10</v>
      </c>
      <c r="G131" s="5" t="str">
        <f t="shared" si="4"/>
        <v>Q4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6">
        <v>45595.0</v>
      </c>
      <c r="B132" s="7" t="s">
        <v>7</v>
      </c>
      <c r="C132" s="8">
        <v>300.0</v>
      </c>
      <c r="D132" s="5">
        <f t="shared" si="1"/>
        <v>2024</v>
      </c>
      <c r="E132" s="5" t="str">
        <f t="shared" si="2"/>
        <v>October</v>
      </c>
      <c r="F132" s="5">
        <f t="shared" si="3"/>
        <v>10</v>
      </c>
      <c r="G132" s="5" t="str">
        <f t="shared" si="4"/>
        <v>Q4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6">
        <v>45595.0</v>
      </c>
      <c r="B133" s="7" t="s">
        <v>23</v>
      </c>
      <c r="C133" s="8">
        <v>1000.0</v>
      </c>
      <c r="D133" s="5">
        <f t="shared" si="1"/>
        <v>2024</v>
      </c>
      <c r="E133" s="5" t="str">
        <f t="shared" si="2"/>
        <v>October</v>
      </c>
      <c r="F133" s="5">
        <f t="shared" si="3"/>
        <v>10</v>
      </c>
      <c r="G133" s="5" t="str">
        <f t="shared" si="4"/>
        <v>Q4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6">
        <v>45595.0</v>
      </c>
      <c r="B134" s="7" t="s">
        <v>24</v>
      </c>
      <c r="C134" s="8">
        <v>200.0</v>
      </c>
      <c r="D134" s="5">
        <f t="shared" si="1"/>
        <v>2024</v>
      </c>
      <c r="E134" s="5" t="str">
        <f t="shared" si="2"/>
        <v>October</v>
      </c>
      <c r="F134" s="5">
        <f t="shared" si="3"/>
        <v>10</v>
      </c>
      <c r="G134" s="5" t="str">
        <f t="shared" si="4"/>
        <v>Q4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6">
        <v>45595.0</v>
      </c>
      <c r="B135" s="7" t="s">
        <v>26</v>
      </c>
      <c r="C135" s="8">
        <v>200.0</v>
      </c>
      <c r="D135" s="5">
        <f t="shared" si="1"/>
        <v>2024</v>
      </c>
      <c r="E135" s="5" t="str">
        <f t="shared" si="2"/>
        <v>October</v>
      </c>
      <c r="F135" s="5">
        <f t="shared" si="3"/>
        <v>10</v>
      </c>
      <c r="G135" s="5" t="str">
        <f t="shared" si="4"/>
        <v>Q4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6">
        <v>45597.0</v>
      </c>
      <c r="B136" s="7" t="s">
        <v>9</v>
      </c>
      <c r="C136" s="8">
        <v>20.0</v>
      </c>
      <c r="D136" s="5">
        <f t="shared" si="1"/>
        <v>2024</v>
      </c>
      <c r="E136" s="5" t="str">
        <f t="shared" si="2"/>
        <v>November</v>
      </c>
      <c r="F136" s="5">
        <f t="shared" si="3"/>
        <v>11</v>
      </c>
      <c r="G136" s="5" t="str">
        <f t="shared" si="4"/>
        <v>Q4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6">
        <v>45598.0</v>
      </c>
      <c r="B137" s="7" t="s">
        <v>26</v>
      </c>
      <c r="C137" s="8">
        <v>200.0</v>
      </c>
      <c r="D137" s="5">
        <f t="shared" si="1"/>
        <v>2024</v>
      </c>
      <c r="E137" s="5" t="str">
        <f t="shared" si="2"/>
        <v>November</v>
      </c>
      <c r="F137" s="5">
        <f t="shared" si="3"/>
        <v>11</v>
      </c>
      <c r="G137" s="5" t="str">
        <f t="shared" si="4"/>
        <v>Q4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6">
        <v>45599.0</v>
      </c>
      <c r="B138" s="7" t="s">
        <v>23</v>
      </c>
      <c r="C138" s="8">
        <v>160.0</v>
      </c>
      <c r="D138" s="5">
        <f t="shared" si="1"/>
        <v>2024</v>
      </c>
      <c r="E138" s="5" t="str">
        <f t="shared" si="2"/>
        <v>November</v>
      </c>
      <c r="F138" s="5">
        <f t="shared" si="3"/>
        <v>11</v>
      </c>
      <c r="G138" s="5" t="str">
        <f t="shared" si="4"/>
        <v>Q4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6">
        <v>45599.0</v>
      </c>
      <c r="B139" s="7" t="s">
        <v>23</v>
      </c>
      <c r="C139" s="8">
        <v>20.0</v>
      </c>
      <c r="D139" s="5">
        <f t="shared" si="1"/>
        <v>2024</v>
      </c>
      <c r="E139" s="5" t="str">
        <f t="shared" si="2"/>
        <v>November</v>
      </c>
      <c r="F139" s="5">
        <f t="shared" si="3"/>
        <v>11</v>
      </c>
      <c r="G139" s="5" t="str">
        <f t="shared" si="4"/>
        <v>Q4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6">
        <v>45600.0</v>
      </c>
      <c r="B140" s="7" t="s">
        <v>21</v>
      </c>
      <c r="C140" s="8">
        <v>150.0</v>
      </c>
      <c r="D140" s="5">
        <f t="shared" si="1"/>
        <v>2024</v>
      </c>
      <c r="E140" s="5" t="str">
        <f t="shared" si="2"/>
        <v>November</v>
      </c>
      <c r="F140" s="5">
        <f t="shared" si="3"/>
        <v>11</v>
      </c>
      <c r="G140" s="5" t="str">
        <f t="shared" si="4"/>
        <v>Q4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6">
        <v>45600.0</v>
      </c>
      <c r="B141" s="7" t="s">
        <v>25</v>
      </c>
      <c r="C141" s="8">
        <v>150.0</v>
      </c>
      <c r="D141" s="5">
        <f t="shared" si="1"/>
        <v>2024</v>
      </c>
      <c r="E141" s="5" t="str">
        <f t="shared" si="2"/>
        <v>November</v>
      </c>
      <c r="F141" s="5">
        <f t="shared" si="3"/>
        <v>11</v>
      </c>
      <c r="G141" s="5" t="str">
        <f t="shared" si="4"/>
        <v>Q4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6">
        <v>45604.0</v>
      </c>
      <c r="B142" s="7" t="s">
        <v>25</v>
      </c>
      <c r="C142" s="8">
        <v>150.0</v>
      </c>
      <c r="D142" s="5">
        <f t="shared" si="1"/>
        <v>2024</v>
      </c>
      <c r="E142" s="5" t="str">
        <f t="shared" si="2"/>
        <v>November</v>
      </c>
      <c r="F142" s="5">
        <f t="shared" si="3"/>
        <v>11</v>
      </c>
      <c r="G142" s="5" t="str">
        <f t="shared" si="4"/>
        <v>Q4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6">
        <v>45605.0</v>
      </c>
      <c r="B143" s="7" t="s">
        <v>13</v>
      </c>
      <c r="C143" s="8">
        <v>600.0</v>
      </c>
      <c r="D143" s="5">
        <f t="shared" si="1"/>
        <v>2024</v>
      </c>
      <c r="E143" s="5" t="str">
        <f t="shared" si="2"/>
        <v>November</v>
      </c>
      <c r="F143" s="5">
        <f t="shared" si="3"/>
        <v>11</v>
      </c>
      <c r="G143" s="5" t="str">
        <f t="shared" si="4"/>
        <v>Q4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6">
        <v>45608.0</v>
      </c>
      <c r="B144" s="7" t="s">
        <v>21</v>
      </c>
      <c r="C144" s="8">
        <v>179.0</v>
      </c>
      <c r="D144" s="5">
        <f t="shared" si="1"/>
        <v>2024</v>
      </c>
      <c r="E144" s="5" t="str">
        <f t="shared" si="2"/>
        <v>November</v>
      </c>
      <c r="F144" s="5">
        <f t="shared" si="3"/>
        <v>11</v>
      </c>
      <c r="G144" s="5" t="str">
        <f t="shared" si="4"/>
        <v>Q4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6">
        <v>45608.0</v>
      </c>
      <c r="B145" s="7" t="s">
        <v>21</v>
      </c>
      <c r="C145" s="8">
        <v>20.0</v>
      </c>
      <c r="D145" s="5">
        <f t="shared" si="1"/>
        <v>2024</v>
      </c>
      <c r="E145" s="5" t="str">
        <f t="shared" si="2"/>
        <v>November</v>
      </c>
      <c r="F145" s="5">
        <f t="shared" si="3"/>
        <v>11</v>
      </c>
      <c r="G145" s="5" t="str">
        <f t="shared" si="4"/>
        <v>Q4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6">
        <v>45609.0</v>
      </c>
      <c r="B146" s="7" t="s">
        <v>21</v>
      </c>
      <c r="C146" s="8">
        <v>300.0</v>
      </c>
      <c r="D146" s="5">
        <f t="shared" si="1"/>
        <v>2024</v>
      </c>
      <c r="E146" s="5" t="str">
        <f t="shared" si="2"/>
        <v>November</v>
      </c>
      <c r="F146" s="5">
        <f t="shared" si="3"/>
        <v>11</v>
      </c>
      <c r="G146" s="5" t="str">
        <f t="shared" si="4"/>
        <v>Q4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6">
        <v>45611.0</v>
      </c>
      <c r="B147" s="7" t="s">
        <v>21</v>
      </c>
      <c r="C147" s="8">
        <v>50.0</v>
      </c>
      <c r="D147" s="5">
        <f t="shared" si="1"/>
        <v>2024</v>
      </c>
      <c r="E147" s="5" t="str">
        <f t="shared" si="2"/>
        <v>November</v>
      </c>
      <c r="F147" s="5">
        <f t="shared" si="3"/>
        <v>11</v>
      </c>
      <c r="G147" s="5" t="str">
        <f t="shared" si="4"/>
        <v>Q4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6">
        <v>45611.0</v>
      </c>
      <c r="B148" s="7" t="s">
        <v>21</v>
      </c>
      <c r="C148" s="8">
        <v>200.0</v>
      </c>
      <c r="D148" s="5">
        <f t="shared" si="1"/>
        <v>2024</v>
      </c>
      <c r="E148" s="5" t="str">
        <f t="shared" si="2"/>
        <v>November</v>
      </c>
      <c r="F148" s="5">
        <f t="shared" si="3"/>
        <v>11</v>
      </c>
      <c r="G148" s="5" t="str">
        <f t="shared" si="4"/>
        <v>Q4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6">
        <v>45611.0</v>
      </c>
      <c r="B149" s="7" t="s">
        <v>27</v>
      </c>
      <c r="C149" s="8">
        <v>150.0</v>
      </c>
      <c r="D149" s="5">
        <f t="shared" si="1"/>
        <v>2024</v>
      </c>
      <c r="E149" s="5" t="str">
        <f t="shared" si="2"/>
        <v>November</v>
      </c>
      <c r="F149" s="5">
        <f t="shared" si="3"/>
        <v>11</v>
      </c>
      <c r="G149" s="5" t="str">
        <f t="shared" si="4"/>
        <v>Q4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6">
        <v>45611.0</v>
      </c>
      <c r="B150" s="7" t="s">
        <v>21</v>
      </c>
      <c r="C150" s="8">
        <v>350.0</v>
      </c>
      <c r="D150" s="5">
        <f t="shared" si="1"/>
        <v>2024</v>
      </c>
      <c r="E150" s="5" t="str">
        <f t="shared" si="2"/>
        <v>November</v>
      </c>
      <c r="F150" s="5">
        <f t="shared" si="3"/>
        <v>11</v>
      </c>
      <c r="G150" s="5" t="str">
        <f t="shared" si="4"/>
        <v>Q4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6">
        <v>45612.0</v>
      </c>
      <c r="B151" s="7" t="s">
        <v>13</v>
      </c>
      <c r="C151" s="8">
        <v>200.0</v>
      </c>
      <c r="D151" s="5">
        <f t="shared" si="1"/>
        <v>2024</v>
      </c>
      <c r="E151" s="5" t="str">
        <f t="shared" si="2"/>
        <v>November</v>
      </c>
      <c r="F151" s="5">
        <f t="shared" si="3"/>
        <v>11</v>
      </c>
      <c r="G151" s="5" t="str">
        <f t="shared" si="4"/>
        <v>Q4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6">
        <v>45612.0</v>
      </c>
      <c r="B152" s="7" t="s">
        <v>13</v>
      </c>
      <c r="C152" s="8">
        <v>500.0</v>
      </c>
      <c r="D152" s="5">
        <f t="shared" si="1"/>
        <v>2024</v>
      </c>
      <c r="E152" s="5" t="str">
        <f t="shared" si="2"/>
        <v>November</v>
      </c>
      <c r="F152" s="5">
        <f t="shared" si="3"/>
        <v>11</v>
      </c>
      <c r="G152" s="5" t="str">
        <f t="shared" si="4"/>
        <v>Q4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6">
        <v>45615.0</v>
      </c>
      <c r="B153" s="7" t="s">
        <v>23</v>
      </c>
      <c r="C153" s="8">
        <v>2000.0</v>
      </c>
      <c r="D153" s="5">
        <f t="shared" si="1"/>
        <v>2024</v>
      </c>
      <c r="E153" s="5" t="str">
        <f t="shared" si="2"/>
        <v>November</v>
      </c>
      <c r="F153" s="5">
        <f t="shared" si="3"/>
        <v>11</v>
      </c>
      <c r="G153" s="5" t="str">
        <f t="shared" si="4"/>
        <v>Q4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6">
        <v>45616.0</v>
      </c>
      <c r="B154" s="7" t="s">
        <v>21</v>
      </c>
      <c r="C154" s="8">
        <v>150.0</v>
      </c>
      <c r="D154" s="5">
        <f t="shared" si="1"/>
        <v>2024</v>
      </c>
      <c r="E154" s="5" t="str">
        <f t="shared" si="2"/>
        <v>November</v>
      </c>
      <c r="F154" s="5">
        <f t="shared" si="3"/>
        <v>11</v>
      </c>
      <c r="G154" s="5" t="str">
        <f t="shared" si="4"/>
        <v>Q4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6">
        <v>45616.0</v>
      </c>
      <c r="B155" s="7" t="s">
        <v>9</v>
      </c>
      <c r="C155" s="8">
        <v>185.0</v>
      </c>
      <c r="D155" s="5">
        <f t="shared" si="1"/>
        <v>2024</v>
      </c>
      <c r="E155" s="5" t="str">
        <f t="shared" si="2"/>
        <v>November</v>
      </c>
      <c r="F155" s="5">
        <f t="shared" si="3"/>
        <v>11</v>
      </c>
      <c r="G155" s="5" t="str">
        <f t="shared" si="4"/>
        <v>Q4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6">
        <v>45618.0</v>
      </c>
      <c r="B156" s="7" t="s">
        <v>25</v>
      </c>
      <c r="C156" s="8">
        <v>150.0</v>
      </c>
      <c r="D156" s="5">
        <f t="shared" si="1"/>
        <v>2024</v>
      </c>
      <c r="E156" s="5" t="str">
        <f t="shared" si="2"/>
        <v>November</v>
      </c>
      <c r="F156" s="5">
        <f t="shared" si="3"/>
        <v>11</v>
      </c>
      <c r="G156" s="5" t="str">
        <f t="shared" si="4"/>
        <v>Q4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6">
        <v>45620.0</v>
      </c>
      <c r="B157" s="7" t="s">
        <v>13</v>
      </c>
      <c r="C157" s="8">
        <v>100.0</v>
      </c>
      <c r="D157" s="5">
        <f t="shared" si="1"/>
        <v>2024</v>
      </c>
      <c r="E157" s="5" t="str">
        <f t="shared" si="2"/>
        <v>November</v>
      </c>
      <c r="F157" s="5">
        <f t="shared" si="3"/>
        <v>11</v>
      </c>
      <c r="G157" s="5" t="str">
        <f t="shared" si="4"/>
        <v>Q4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6">
        <v>45629.0</v>
      </c>
      <c r="B158" s="7" t="s">
        <v>9</v>
      </c>
      <c r="C158" s="8">
        <v>490.0</v>
      </c>
      <c r="D158" s="5">
        <f t="shared" si="1"/>
        <v>2024</v>
      </c>
      <c r="E158" s="5" t="str">
        <f t="shared" si="2"/>
        <v>December</v>
      </c>
      <c r="F158" s="5">
        <f t="shared" si="3"/>
        <v>12</v>
      </c>
      <c r="G158" s="5" t="str">
        <f t="shared" si="4"/>
        <v>Q4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6">
        <v>45635.0</v>
      </c>
      <c r="B159" s="7" t="s">
        <v>24</v>
      </c>
      <c r="C159" s="8">
        <v>180.0</v>
      </c>
      <c r="D159" s="5">
        <f t="shared" si="1"/>
        <v>2024</v>
      </c>
      <c r="E159" s="5" t="str">
        <f t="shared" si="2"/>
        <v>December</v>
      </c>
      <c r="F159" s="5">
        <f t="shared" si="3"/>
        <v>12</v>
      </c>
      <c r="G159" s="5" t="str">
        <f t="shared" si="4"/>
        <v>Q4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6">
        <v>45636.0</v>
      </c>
      <c r="B160" s="7" t="s">
        <v>7</v>
      </c>
      <c r="C160" s="8">
        <v>200.0</v>
      </c>
      <c r="D160" s="5">
        <f t="shared" si="1"/>
        <v>2024</v>
      </c>
      <c r="E160" s="5" t="str">
        <f t="shared" si="2"/>
        <v>December</v>
      </c>
      <c r="F160" s="5">
        <f t="shared" si="3"/>
        <v>12</v>
      </c>
      <c r="G160" s="5" t="str">
        <f t="shared" si="4"/>
        <v>Q4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6">
        <v>45642.0</v>
      </c>
      <c r="B161" s="7" t="s">
        <v>13</v>
      </c>
      <c r="C161" s="8">
        <v>90.0</v>
      </c>
      <c r="D161" s="5">
        <f t="shared" si="1"/>
        <v>2024</v>
      </c>
      <c r="E161" s="5" t="str">
        <f t="shared" si="2"/>
        <v>December</v>
      </c>
      <c r="F161" s="5">
        <f t="shared" si="3"/>
        <v>12</v>
      </c>
      <c r="G161" s="5" t="str">
        <f t="shared" si="4"/>
        <v>Q4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6">
        <v>45677.0</v>
      </c>
      <c r="B162" s="7" t="s">
        <v>8</v>
      </c>
      <c r="C162" s="8">
        <v>640.0</v>
      </c>
      <c r="D162" s="5">
        <f t="shared" si="1"/>
        <v>2025</v>
      </c>
      <c r="E162" s="5" t="str">
        <f t="shared" si="2"/>
        <v>January</v>
      </c>
      <c r="F162" s="5">
        <f t="shared" si="3"/>
        <v>1</v>
      </c>
      <c r="G162" s="5" t="str">
        <f t="shared" si="4"/>
        <v>Q1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6">
        <v>45680.0</v>
      </c>
      <c r="B163" s="7" t="s">
        <v>7</v>
      </c>
      <c r="C163" s="8">
        <v>200.0</v>
      </c>
      <c r="D163" s="5">
        <f t="shared" si="1"/>
        <v>2025</v>
      </c>
      <c r="E163" s="5" t="str">
        <f t="shared" si="2"/>
        <v>January</v>
      </c>
      <c r="F163" s="5">
        <f t="shared" si="3"/>
        <v>1</v>
      </c>
      <c r="G163" s="5" t="str">
        <f t="shared" si="4"/>
        <v>Q1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6">
        <v>45681.0</v>
      </c>
      <c r="B164" s="7" t="s">
        <v>27</v>
      </c>
      <c r="C164" s="8">
        <v>160.0</v>
      </c>
      <c r="D164" s="5">
        <f t="shared" si="1"/>
        <v>2025</v>
      </c>
      <c r="E164" s="5" t="str">
        <f t="shared" si="2"/>
        <v>January</v>
      </c>
      <c r="F164" s="5">
        <f t="shared" si="3"/>
        <v>1</v>
      </c>
      <c r="G164" s="5" t="str">
        <f t="shared" si="4"/>
        <v>Q1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6">
        <v>45686.0</v>
      </c>
      <c r="B165" s="7" t="s">
        <v>8</v>
      </c>
      <c r="C165" s="8">
        <v>700.0</v>
      </c>
      <c r="D165" s="5">
        <f t="shared" si="1"/>
        <v>2025</v>
      </c>
      <c r="E165" s="5" t="str">
        <f t="shared" si="2"/>
        <v>January</v>
      </c>
      <c r="F165" s="5">
        <f t="shared" si="3"/>
        <v>1</v>
      </c>
      <c r="G165" s="5" t="str">
        <f t="shared" si="4"/>
        <v>Q1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6">
        <v>45694.0</v>
      </c>
      <c r="B166" s="7" t="s">
        <v>8</v>
      </c>
      <c r="C166" s="8">
        <v>1000.0</v>
      </c>
      <c r="D166" s="5">
        <f t="shared" si="1"/>
        <v>2025</v>
      </c>
      <c r="E166" s="5" t="str">
        <f t="shared" si="2"/>
        <v>February</v>
      </c>
      <c r="F166" s="5">
        <f t="shared" si="3"/>
        <v>2</v>
      </c>
      <c r="G166" s="5" t="str">
        <f t="shared" si="4"/>
        <v>Q1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6">
        <v>45674.0</v>
      </c>
      <c r="B167" s="7" t="s">
        <v>7</v>
      </c>
      <c r="C167" s="8">
        <v>5000.0</v>
      </c>
      <c r="D167" s="5">
        <f t="shared" si="1"/>
        <v>2025</v>
      </c>
      <c r="E167" s="5" t="str">
        <f t="shared" si="2"/>
        <v>January</v>
      </c>
      <c r="F167" s="5">
        <f t="shared" si="3"/>
        <v>1</v>
      </c>
      <c r="G167" s="5" t="str">
        <f t="shared" si="4"/>
        <v>Q1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6">
        <v>45696.0</v>
      </c>
      <c r="B168" s="7" t="s">
        <v>29</v>
      </c>
      <c r="C168" s="8">
        <v>220.0</v>
      </c>
      <c r="D168" s="5">
        <f t="shared" si="1"/>
        <v>2025</v>
      </c>
      <c r="E168" s="5" t="str">
        <f t="shared" si="2"/>
        <v>February</v>
      </c>
      <c r="F168" s="5">
        <f t="shared" si="3"/>
        <v>2</v>
      </c>
      <c r="G168" s="5" t="str">
        <f t="shared" si="4"/>
        <v>Q1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6">
        <v>45696.0</v>
      </c>
      <c r="B169" s="7" t="s">
        <v>21</v>
      </c>
      <c r="C169" s="8">
        <v>320.0</v>
      </c>
      <c r="D169" s="5">
        <f t="shared" si="1"/>
        <v>2025</v>
      </c>
      <c r="E169" s="5" t="str">
        <f t="shared" si="2"/>
        <v>February</v>
      </c>
      <c r="F169" s="5">
        <f t="shared" si="3"/>
        <v>2</v>
      </c>
      <c r="G169" s="5" t="str">
        <f t="shared" si="4"/>
        <v>Q1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6">
        <v>45696.0</v>
      </c>
      <c r="B170" s="7" t="s">
        <v>21</v>
      </c>
      <c r="C170" s="8">
        <v>250.0</v>
      </c>
      <c r="D170" s="5">
        <f t="shared" si="1"/>
        <v>2025</v>
      </c>
      <c r="E170" s="5" t="str">
        <f t="shared" si="2"/>
        <v>February</v>
      </c>
      <c r="F170" s="5">
        <f t="shared" si="3"/>
        <v>2</v>
      </c>
      <c r="G170" s="5" t="str">
        <f t="shared" si="4"/>
        <v>Q1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6">
        <v>45696.0</v>
      </c>
      <c r="B171" s="7" t="s">
        <v>28</v>
      </c>
      <c r="C171" s="8">
        <v>150.0</v>
      </c>
      <c r="D171" s="5">
        <f t="shared" si="1"/>
        <v>2025</v>
      </c>
      <c r="E171" s="5" t="str">
        <f t="shared" si="2"/>
        <v>February</v>
      </c>
      <c r="F171" s="5">
        <f t="shared" si="3"/>
        <v>2</v>
      </c>
      <c r="G171" s="5" t="str">
        <f t="shared" si="4"/>
        <v>Q1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6">
        <v>45700.0</v>
      </c>
      <c r="B172" s="7" t="s">
        <v>10</v>
      </c>
      <c r="C172" s="8">
        <v>250.0</v>
      </c>
      <c r="D172" s="5">
        <f t="shared" si="1"/>
        <v>2025</v>
      </c>
      <c r="E172" s="5" t="str">
        <f t="shared" si="2"/>
        <v>February</v>
      </c>
      <c r="F172" s="5">
        <f t="shared" si="3"/>
        <v>2</v>
      </c>
      <c r="G172" s="5" t="str">
        <f t="shared" si="4"/>
        <v>Q1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6">
        <v>45700.0</v>
      </c>
      <c r="B173" s="7" t="s">
        <v>7</v>
      </c>
      <c r="C173" s="8">
        <v>200.0</v>
      </c>
      <c r="D173" s="5">
        <f t="shared" si="1"/>
        <v>2025</v>
      </c>
      <c r="E173" s="5" t="str">
        <f t="shared" si="2"/>
        <v>February</v>
      </c>
      <c r="F173" s="5">
        <f t="shared" si="3"/>
        <v>2</v>
      </c>
      <c r="G173" s="5" t="str">
        <f t="shared" si="4"/>
        <v>Q1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6">
        <v>45693.0</v>
      </c>
      <c r="B174" s="7" t="s">
        <v>7</v>
      </c>
      <c r="C174" s="8">
        <v>1000.0</v>
      </c>
      <c r="D174" s="5">
        <f t="shared" si="1"/>
        <v>2025</v>
      </c>
      <c r="E174" s="5" t="str">
        <f t="shared" si="2"/>
        <v>February</v>
      </c>
      <c r="F174" s="5">
        <f t="shared" si="3"/>
        <v>2</v>
      </c>
      <c r="G174" s="5" t="str">
        <f t="shared" si="4"/>
        <v>Q1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6">
        <v>45706.0</v>
      </c>
      <c r="B175" s="7" t="s">
        <v>28</v>
      </c>
      <c r="C175" s="8">
        <v>110.0</v>
      </c>
      <c r="D175" s="5">
        <f t="shared" si="1"/>
        <v>2025</v>
      </c>
      <c r="E175" s="5" t="str">
        <f t="shared" si="2"/>
        <v>February</v>
      </c>
      <c r="F175" s="5">
        <f t="shared" si="3"/>
        <v>2</v>
      </c>
      <c r="G175" s="5" t="str">
        <f t="shared" si="4"/>
        <v>Q1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6">
        <v>45711.0</v>
      </c>
      <c r="B176" s="7" t="s">
        <v>8</v>
      </c>
      <c r="C176" s="8">
        <v>30000.0</v>
      </c>
      <c r="D176" s="5">
        <f t="shared" si="1"/>
        <v>2025</v>
      </c>
      <c r="E176" s="5" t="str">
        <f t="shared" si="2"/>
        <v>February</v>
      </c>
      <c r="F176" s="5">
        <f t="shared" si="3"/>
        <v>2</v>
      </c>
      <c r="G176" s="5" t="str">
        <f t="shared" si="4"/>
        <v>Q1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6">
        <v>45688.0</v>
      </c>
      <c r="B177" s="7" t="s">
        <v>8</v>
      </c>
      <c r="C177" s="8">
        <v>30000.0</v>
      </c>
      <c r="D177" s="5">
        <f t="shared" si="1"/>
        <v>2025</v>
      </c>
      <c r="E177" s="5" t="str">
        <f t="shared" si="2"/>
        <v>January</v>
      </c>
      <c r="F177" s="5">
        <f t="shared" si="3"/>
        <v>1</v>
      </c>
      <c r="G177" s="5" t="str">
        <f t="shared" si="4"/>
        <v>Q1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6">
        <v>45688.0</v>
      </c>
      <c r="B178" s="7" t="s">
        <v>19</v>
      </c>
      <c r="C178" s="8">
        <v>20000.0</v>
      </c>
      <c r="D178" s="5">
        <f t="shared" si="1"/>
        <v>2025</v>
      </c>
      <c r="E178" s="5" t="str">
        <f t="shared" si="2"/>
        <v>January</v>
      </c>
      <c r="F178" s="5">
        <f t="shared" si="3"/>
        <v>1</v>
      </c>
      <c r="G178" s="5" t="str">
        <f t="shared" si="4"/>
        <v>Q1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6">
        <v>45711.0</v>
      </c>
      <c r="B179" s="7" t="s">
        <v>19</v>
      </c>
      <c r="C179" s="8">
        <v>20000.0</v>
      </c>
      <c r="D179" s="5">
        <f t="shared" si="1"/>
        <v>2025</v>
      </c>
      <c r="E179" s="5" t="str">
        <f t="shared" si="2"/>
        <v>February</v>
      </c>
      <c r="F179" s="5">
        <f t="shared" si="3"/>
        <v>2</v>
      </c>
      <c r="G179" s="5" t="str">
        <f t="shared" si="4"/>
        <v>Q1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6">
        <v>45713.0</v>
      </c>
      <c r="B180" s="7" t="s">
        <v>8</v>
      </c>
      <c r="C180" s="8">
        <v>400.0</v>
      </c>
      <c r="D180" s="5">
        <f t="shared" si="1"/>
        <v>2025</v>
      </c>
      <c r="E180" s="5" t="str">
        <f t="shared" si="2"/>
        <v>February</v>
      </c>
      <c r="F180" s="5">
        <f t="shared" si="3"/>
        <v>2</v>
      </c>
      <c r="G180" s="5" t="str">
        <f t="shared" si="4"/>
        <v>Q1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6">
        <v>45714.0</v>
      </c>
      <c r="B181" s="7" t="s">
        <v>16</v>
      </c>
      <c r="C181" s="8">
        <v>200.0</v>
      </c>
      <c r="D181" s="5">
        <f t="shared" si="1"/>
        <v>2025</v>
      </c>
      <c r="E181" s="5" t="str">
        <f t="shared" si="2"/>
        <v>February</v>
      </c>
      <c r="F181" s="5">
        <f t="shared" si="3"/>
        <v>2</v>
      </c>
      <c r="G181" s="5" t="str">
        <f t="shared" si="4"/>
        <v>Q1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6">
        <v>45714.0</v>
      </c>
      <c r="B182" s="7" t="s">
        <v>13</v>
      </c>
      <c r="C182" s="8">
        <v>200.0</v>
      </c>
      <c r="D182" s="5">
        <f t="shared" si="1"/>
        <v>2025</v>
      </c>
      <c r="E182" s="5" t="str">
        <f t="shared" si="2"/>
        <v>February</v>
      </c>
      <c r="F182" s="5">
        <f t="shared" si="3"/>
        <v>2</v>
      </c>
      <c r="G182" s="5" t="str">
        <f t="shared" si="4"/>
        <v>Q1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6">
        <v>45716.0</v>
      </c>
      <c r="B183" s="7" t="s">
        <v>13</v>
      </c>
      <c r="C183" s="8">
        <v>200.0</v>
      </c>
      <c r="D183" s="5">
        <f t="shared" si="1"/>
        <v>2025</v>
      </c>
      <c r="E183" s="5" t="str">
        <f t="shared" si="2"/>
        <v>February</v>
      </c>
      <c r="F183" s="5">
        <f t="shared" si="3"/>
        <v>2</v>
      </c>
      <c r="G183" s="5" t="str">
        <f t="shared" si="4"/>
        <v>Q1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6">
        <v>45720.0</v>
      </c>
      <c r="B184" s="7" t="s">
        <v>13</v>
      </c>
      <c r="C184" s="8">
        <v>200.0</v>
      </c>
      <c r="D184" s="5">
        <f t="shared" si="1"/>
        <v>2025</v>
      </c>
      <c r="E184" s="5" t="str">
        <f t="shared" si="2"/>
        <v>March</v>
      </c>
      <c r="F184" s="5">
        <f t="shared" si="3"/>
        <v>3</v>
      </c>
      <c r="G184" s="5" t="str">
        <f t="shared" si="4"/>
        <v>Q1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6">
        <v>45726.0</v>
      </c>
      <c r="B185" s="7" t="s">
        <v>7</v>
      </c>
      <c r="C185" s="8">
        <v>100.0</v>
      </c>
      <c r="D185" s="5">
        <f t="shared" si="1"/>
        <v>2025</v>
      </c>
      <c r="E185" s="5" t="str">
        <f t="shared" si="2"/>
        <v>March</v>
      </c>
      <c r="F185" s="5">
        <f t="shared" si="3"/>
        <v>3</v>
      </c>
      <c r="G185" s="5" t="str">
        <f t="shared" si="4"/>
        <v>Q1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6">
        <v>45729.0</v>
      </c>
      <c r="B186" s="7" t="s">
        <v>13</v>
      </c>
      <c r="C186" s="8">
        <v>200.0</v>
      </c>
      <c r="D186" s="5">
        <f t="shared" si="1"/>
        <v>2025</v>
      </c>
      <c r="E186" s="5" t="str">
        <f t="shared" si="2"/>
        <v>March</v>
      </c>
      <c r="F186" s="5">
        <f t="shared" si="3"/>
        <v>3</v>
      </c>
      <c r="G186" s="5" t="str">
        <f t="shared" si="4"/>
        <v>Q1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6">
        <v>45729.0</v>
      </c>
      <c r="B187" s="7" t="s">
        <v>7</v>
      </c>
      <c r="C187" s="8">
        <v>200.0</v>
      </c>
      <c r="D187" s="5">
        <f t="shared" si="1"/>
        <v>2025</v>
      </c>
      <c r="E187" s="5" t="str">
        <f t="shared" si="2"/>
        <v>March</v>
      </c>
      <c r="F187" s="5">
        <f t="shared" si="3"/>
        <v>3</v>
      </c>
      <c r="G187" s="5" t="str">
        <f t="shared" si="4"/>
        <v>Q1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6">
        <v>45726.0</v>
      </c>
      <c r="B188" s="7" t="s">
        <v>7</v>
      </c>
      <c r="C188" s="8">
        <v>3000.0</v>
      </c>
      <c r="D188" s="5">
        <f t="shared" si="1"/>
        <v>2025</v>
      </c>
      <c r="E188" s="5" t="str">
        <f t="shared" si="2"/>
        <v>March</v>
      </c>
      <c r="F188" s="5">
        <f t="shared" si="3"/>
        <v>3</v>
      </c>
      <c r="G188" s="5" t="str">
        <f t="shared" si="4"/>
        <v>Q1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6">
        <v>45728.0</v>
      </c>
      <c r="B189" s="7" t="s">
        <v>8</v>
      </c>
      <c r="C189" s="8">
        <v>400.0</v>
      </c>
      <c r="D189" s="5">
        <f t="shared" si="1"/>
        <v>2025</v>
      </c>
      <c r="E189" s="5" t="str">
        <f t="shared" si="2"/>
        <v>March</v>
      </c>
      <c r="F189" s="5">
        <f t="shared" si="3"/>
        <v>3</v>
      </c>
      <c r="G189" s="5" t="str">
        <f t="shared" si="4"/>
        <v>Q1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6">
        <v>45731.0</v>
      </c>
      <c r="B190" s="7" t="s">
        <v>8</v>
      </c>
      <c r="C190" s="8">
        <v>200.0</v>
      </c>
      <c r="D190" s="5">
        <f t="shared" si="1"/>
        <v>2025</v>
      </c>
      <c r="E190" s="5" t="str">
        <f t="shared" si="2"/>
        <v>March</v>
      </c>
      <c r="F190" s="5">
        <f t="shared" si="3"/>
        <v>3</v>
      </c>
      <c r="G190" s="5" t="str">
        <f t="shared" si="4"/>
        <v>Q1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6">
        <v>45732.0</v>
      </c>
      <c r="B191" s="7" t="s">
        <v>7</v>
      </c>
      <c r="C191" s="8">
        <v>800.0</v>
      </c>
      <c r="D191" s="5">
        <f t="shared" si="1"/>
        <v>2025</v>
      </c>
      <c r="E191" s="5" t="str">
        <f t="shared" si="2"/>
        <v>March</v>
      </c>
      <c r="F191" s="5">
        <f t="shared" si="3"/>
        <v>3</v>
      </c>
      <c r="G191" s="5" t="str">
        <f t="shared" si="4"/>
        <v>Q1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6">
        <v>45732.0</v>
      </c>
      <c r="B192" s="7" t="s">
        <v>13</v>
      </c>
      <c r="C192" s="8">
        <v>200.0</v>
      </c>
      <c r="D192" s="5">
        <f t="shared" si="1"/>
        <v>2025</v>
      </c>
      <c r="E192" s="5" t="str">
        <f t="shared" si="2"/>
        <v>March</v>
      </c>
      <c r="F192" s="5">
        <f t="shared" si="3"/>
        <v>3</v>
      </c>
      <c r="G192" s="5" t="str">
        <f t="shared" si="4"/>
        <v>Q1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6">
        <v>45728.0</v>
      </c>
      <c r="B193" s="7" t="s">
        <v>21</v>
      </c>
      <c r="C193" s="8">
        <v>16950.0</v>
      </c>
      <c r="D193" s="5">
        <f t="shared" si="1"/>
        <v>2025</v>
      </c>
      <c r="E193" s="5" t="str">
        <f t="shared" si="2"/>
        <v>March</v>
      </c>
      <c r="F193" s="5">
        <f t="shared" si="3"/>
        <v>3</v>
      </c>
      <c r="G193" s="5" t="str">
        <f t="shared" si="4"/>
        <v>Q1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6">
        <v>45733.0</v>
      </c>
      <c r="B194" s="7" t="s">
        <v>8</v>
      </c>
      <c r="C194" s="8">
        <v>300.0</v>
      </c>
      <c r="D194" s="5">
        <f t="shared" si="1"/>
        <v>2025</v>
      </c>
      <c r="E194" s="5" t="str">
        <f t="shared" si="2"/>
        <v>March</v>
      </c>
      <c r="F194" s="5">
        <f t="shared" si="3"/>
        <v>3</v>
      </c>
      <c r="G194" s="5" t="str">
        <f t="shared" si="4"/>
        <v>Q1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6">
        <v>45742.0</v>
      </c>
      <c r="B195" s="7" t="s">
        <v>7</v>
      </c>
      <c r="C195" s="8">
        <v>2500.0</v>
      </c>
      <c r="D195" s="5">
        <f t="shared" si="1"/>
        <v>2025</v>
      </c>
      <c r="E195" s="5" t="str">
        <f t="shared" si="2"/>
        <v>March</v>
      </c>
      <c r="F195" s="5">
        <f t="shared" si="3"/>
        <v>3</v>
      </c>
      <c r="G195" s="5" t="str">
        <f t="shared" si="4"/>
        <v>Q1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6">
        <v>45742.0</v>
      </c>
      <c r="B196" s="7" t="s">
        <v>30</v>
      </c>
      <c r="C196" s="8">
        <v>150.0</v>
      </c>
      <c r="D196" s="5">
        <f t="shared" si="1"/>
        <v>2025</v>
      </c>
      <c r="E196" s="5" t="str">
        <f t="shared" si="2"/>
        <v>March</v>
      </c>
      <c r="F196" s="5">
        <f t="shared" si="3"/>
        <v>3</v>
      </c>
      <c r="G196" s="5" t="str">
        <f t="shared" si="4"/>
        <v>Q1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6">
        <v>45747.0</v>
      </c>
      <c r="B197" s="7" t="s">
        <v>8</v>
      </c>
      <c r="C197" s="8">
        <v>30000.0</v>
      </c>
      <c r="D197" s="5">
        <f t="shared" si="1"/>
        <v>2025</v>
      </c>
      <c r="E197" s="5" t="str">
        <f t="shared" si="2"/>
        <v>March</v>
      </c>
      <c r="F197" s="5">
        <f t="shared" si="3"/>
        <v>3</v>
      </c>
      <c r="G197" s="5" t="str">
        <f t="shared" si="4"/>
        <v>Q1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6">
        <v>45744.0</v>
      </c>
      <c r="B198" s="7" t="s">
        <v>7</v>
      </c>
      <c r="C198" s="8">
        <v>150.0</v>
      </c>
      <c r="D198" s="5">
        <f t="shared" si="1"/>
        <v>2025</v>
      </c>
      <c r="E198" s="5" t="str">
        <f t="shared" si="2"/>
        <v>March</v>
      </c>
      <c r="F198" s="5">
        <f t="shared" si="3"/>
        <v>3</v>
      </c>
      <c r="G198" s="5" t="str">
        <f t="shared" si="4"/>
        <v>Q1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6">
        <v>45745.0</v>
      </c>
      <c r="B199" s="7" t="s">
        <v>8</v>
      </c>
      <c r="C199" s="8">
        <v>200.0</v>
      </c>
      <c r="D199" s="5">
        <f t="shared" si="1"/>
        <v>2025</v>
      </c>
      <c r="E199" s="5" t="str">
        <f t="shared" si="2"/>
        <v>March</v>
      </c>
      <c r="F199" s="5">
        <f t="shared" si="3"/>
        <v>3</v>
      </c>
      <c r="G199" s="5" t="str">
        <f t="shared" si="4"/>
        <v>Q1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6">
        <v>45624.0</v>
      </c>
      <c r="B200" s="7" t="s">
        <v>21</v>
      </c>
      <c r="C200" s="8">
        <v>3880.0</v>
      </c>
      <c r="D200" s="5">
        <f t="shared" si="1"/>
        <v>2024</v>
      </c>
      <c r="E200" s="5" t="str">
        <f t="shared" si="2"/>
        <v>November</v>
      </c>
      <c r="F200" s="5">
        <f t="shared" si="3"/>
        <v>11</v>
      </c>
      <c r="G200" s="5" t="str">
        <f t="shared" si="4"/>
        <v>Q4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6">
        <v>45623.0</v>
      </c>
      <c r="B201" s="7" t="s">
        <v>21</v>
      </c>
      <c r="C201" s="8">
        <v>9700.0</v>
      </c>
      <c r="D201" s="5">
        <f t="shared" si="1"/>
        <v>2024</v>
      </c>
      <c r="E201" s="5" t="str">
        <f t="shared" si="2"/>
        <v>November</v>
      </c>
      <c r="F201" s="5">
        <f t="shared" si="3"/>
        <v>11</v>
      </c>
      <c r="G201" s="5" t="str">
        <f t="shared" si="4"/>
        <v>Q4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6">
        <v>45750.0</v>
      </c>
      <c r="B202" s="7" t="s">
        <v>21</v>
      </c>
      <c r="C202" s="8">
        <v>1450.0</v>
      </c>
      <c r="D202" s="5">
        <f t="shared" si="1"/>
        <v>2025</v>
      </c>
      <c r="E202" s="5" t="str">
        <f t="shared" si="2"/>
        <v>April</v>
      </c>
      <c r="F202" s="5">
        <f t="shared" si="3"/>
        <v>4</v>
      </c>
      <c r="G202" s="5" t="str">
        <f t="shared" si="4"/>
        <v>Q2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6">
        <v>45751.0</v>
      </c>
      <c r="B203" s="7" t="s">
        <v>8</v>
      </c>
      <c r="C203" s="8">
        <v>100.0</v>
      </c>
      <c r="D203" s="5">
        <f t="shared" si="1"/>
        <v>2025</v>
      </c>
      <c r="E203" s="5" t="str">
        <f t="shared" si="2"/>
        <v>April</v>
      </c>
      <c r="F203" s="5">
        <f t="shared" si="3"/>
        <v>4</v>
      </c>
      <c r="G203" s="5" t="str">
        <f t="shared" si="4"/>
        <v>Q2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6">
        <v>45755.0</v>
      </c>
      <c r="B204" s="7" t="s">
        <v>8</v>
      </c>
      <c r="C204" s="8">
        <v>100.0</v>
      </c>
      <c r="D204" s="5">
        <f t="shared" si="1"/>
        <v>2025</v>
      </c>
      <c r="E204" s="5" t="str">
        <f t="shared" si="2"/>
        <v>April</v>
      </c>
      <c r="F204" s="5">
        <f t="shared" si="3"/>
        <v>4</v>
      </c>
      <c r="G204" s="5" t="str">
        <f t="shared" si="4"/>
        <v>Q2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6">
        <v>45756.0</v>
      </c>
      <c r="B205" s="7" t="s">
        <v>8</v>
      </c>
      <c r="C205" s="8">
        <v>200.0</v>
      </c>
      <c r="D205" s="5">
        <f t="shared" si="1"/>
        <v>2025</v>
      </c>
      <c r="E205" s="5" t="str">
        <f t="shared" si="2"/>
        <v>April</v>
      </c>
      <c r="F205" s="5">
        <f t="shared" si="3"/>
        <v>4</v>
      </c>
      <c r="G205" s="5" t="str">
        <f t="shared" si="4"/>
        <v>Q2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6">
        <v>45756.0</v>
      </c>
      <c r="B206" s="7" t="s">
        <v>7</v>
      </c>
      <c r="C206" s="8">
        <v>1000.0</v>
      </c>
      <c r="D206" s="5">
        <f t="shared" si="1"/>
        <v>2025</v>
      </c>
      <c r="E206" s="5" t="str">
        <f t="shared" si="2"/>
        <v>April</v>
      </c>
      <c r="F206" s="5">
        <f t="shared" si="3"/>
        <v>4</v>
      </c>
      <c r="G206" s="5" t="str">
        <f t="shared" si="4"/>
        <v>Q2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6">
        <v>45757.0</v>
      </c>
      <c r="B207" s="7" t="s">
        <v>9</v>
      </c>
      <c r="C207" s="8">
        <v>65.0</v>
      </c>
      <c r="D207" s="5">
        <f t="shared" si="1"/>
        <v>2025</v>
      </c>
      <c r="E207" s="5" t="str">
        <f t="shared" si="2"/>
        <v>April</v>
      </c>
      <c r="F207" s="5">
        <f t="shared" si="3"/>
        <v>4</v>
      </c>
      <c r="G207" s="5" t="str">
        <f t="shared" si="4"/>
        <v>Q2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6">
        <v>45757.0</v>
      </c>
      <c r="B208" s="7" t="s">
        <v>9</v>
      </c>
      <c r="C208" s="8">
        <v>50.0</v>
      </c>
      <c r="D208" s="5">
        <f t="shared" si="1"/>
        <v>2025</v>
      </c>
      <c r="E208" s="5" t="str">
        <f t="shared" si="2"/>
        <v>April</v>
      </c>
      <c r="F208" s="5">
        <f t="shared" si="3"/>
        <v>4</v>
      </c>
      <c r="G208" s="5" t="str">
        <f t="shared" si="4"/>
        <v>Q2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6">
        <v>45758.0</v>
      </c>
      <c r="B209" s="7" t="s">
        <v>13</v>
      </c>
      <c r="C209" s="8">
        <v>100.0</v>
      </c>
      <c r="D209" s="5">
        <f t="shared" si="1"/>
        <v>2025</v>
      </c>
      <c r="E209" s="5" t="str">
        <f t="shared" si="2"/>
        <v>April</v>
      </c>
      <c r="F209" s="5">
        <f t="shared" si="3"/>
        <v>4</v>
      </c>
      <c r="G209" s="5" t="str">
        <f t="shared" si="4"/>
        <v>Q2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6">
        <v>45758.0</v>
      </c>
      <c r="B210" s="7" t="s">
        <v>9</v>
      </c>
      <c r="C210" s="8">
        <v>20.0</v>
      </c>
      <c r="D210" s="5">
        <f t="shared" si="1"/>
        <v>2025</v>
      </c>
      <c r="E210" s="5" t="str">
        <f t="shared" si="2"/>
        <v>April</v>
      </c>
      <c r="F210" s="5">
        <f t="shared" si="3"/>
        <v>4</v>
      </c>
      <c r="G210" s="5" t="str">
        <f t="shared" si="4"/>
        <v>Q2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6">
        <v>45758.0</v>
      </c>
      <c r="B211" s="7" t="s">
        <v>10</v>
      </c>
      <c r="C211" s="8">
        <v>250.0</v>
      </c>
      <c r="D211" s="5">
        <f t="shared" si="1"/>
        <v>2025</v>
      </c>
      <c r="E211" s="5" t="str">
        <f t="shared" si="2"/>
        <v>April</v>
      </c>
      <c r="F211" s="5">
        <f t="shared" si="3"/>
        <v>4</v>
      </c>
      <c r="G211" s="5" t="str">
        <f t="shared" si="4"/>
        <v>Q2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6">
        <v>45765.0</v>
      </c>
      <c r="B212" s="7" t="s">
        <v>9</v>
      </c>
      <c r="C212" s="8">
        <v>300.0</v>
      </c>
      <c r="D212" s="5">
        <f t="shared" si="1"/>
        <v>2025</v>
      </c>
      <c r="E212" s="5" t="str">
        <f t="shared" si="2"/>
        <v>April</v>
      </c>
      <c r="F212" s="5">
        <f t="shared" si="3"/>
        <v>4</v>
      </c>
      <c r="G212" s="5" t="str">
        <f t="shared" si="4"/>
        <v>Q2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6">
        <v>45765.0</v>
      </c>
      <c r="B213" s="7" t="s">
        <v>8</v>
      </c>
      <c r="C213" s="8">
        <v>200.0</v>
      </c>
      <c r="D213" s="5">
        <f t="shared" si="1"/>
        <v>2025</v>
      </c>
      <c r="E213" s="5" t="str">
        <f t="shared" si="2"/>
        <v>April</v>
      </c>
      <c r="F213" s="5">
        <f t="shared" si="3"/>
        <v>4</v>
      </c>
      <c r="G213" s="5" t="str">
        <f t="shared" si="4"/>
        <v>Q2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6">
        <v>45773.0</v>
      </c>
      <c r="B214" s="7" t="s">
        <v>8</v>
      </c>
      <c r="C214" s="8">
        <v>7000.0</v>
      </c>
      <c r="D214" s="5">
        <f t="shared" si="1"/>
        <v>2025</v>
      </c>
      <c r="E214" s="5" t="str">
        <f t="shared" si="2"/>
        <v>April</v>
      </c>
      <c r="F214" s="5">
        <f t="shared" si="3"/>
        <v>4</v>
      </c>
      <c r="G214" s="5" t="str">
        <f t="shared" si="4"/>
        <v>Q2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6">
        <v>45773.0</v>
      </c>
      <c r="B215" s="7" t="s">
        <v>8</v>
      </c>
      <c r="C215" s="8">
        <v>3000.0</v>
      </c>
      <c r="D215" s="5">
        <f t="shared" si="1"/>
        <v>2025</v>
      </c>
      <c r="E215" s="5" t="str">
        <f t="shared" si="2"/>
        <v>April</v>
      </c>
      <c r="F215" s="5">
        <f t="shared" si="3"/>
        <v>4</v>
      </c>
      <c r="G215" s="5" t="str">
        <f t="shared" si="4"/>
        <v>Q2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6">
        <v>45773.0</v>
      </c>
      <c r="B216" s="7" t="s">
        <v>8</v>
      </c>
      <c r="C216" s="8">
        <v>200.0</v>
      </c>
      <c r="D216" s="5">
        <f t="shared" si="1"/>
        <v>2025</v>
      </c>
      <c r="E216" s="5" t="str">
        <f t="shared" si="2"/>
        <v>April</v>
      </c>
      <c r="F216" s="5">
        <f t="shared" si="3"/>
        <v>4</v>
      </c>
      <c r="G216" s="5" t="str">
        <f t="shared" si="4"/>
        <v>Q2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6">
        <v>45773.0</v>
      </c>
      <c r="B217" s="7" t="s">
        <v>9</v>
      </c>
      <c r="C217" s="8">
        <v>160.0</v>
      </c>
      <c r="D217" s="5">
        <f t="shared" si="1"/>
        <v>2025</v>
      </c>
      <c r="E217" s="5" t="str">
        <f t="shared" si="2"/>
        <v>April</v>
      </c>
      <c r="F217" s="5">
        <f t="shared" si="3"/>
        <v>4</v>
      </c>
      <c r="G217" s="5" t="str">
        <f t="shared" si="4"/>
        <v>Q2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6">
        <v>45773.0</v>
      </c>
      <c r="B218" s="7" t="s">
        <v>7</v>
      </c>
      <c r="C218" s="8">
        <v>40.0</v>
      </c>
      <c r="D218" s="5">
        <f t="shared" si="1"/>
        <v>2025</v>
      </c>
      <c r="E218" s="5" t="str">
        <f t="shared" si="2"/>
        <v>April</v>
      </c>
      <c r="F218" s="5">
        <f t="shared" si="3"/>
        <v>4</v>
      </c>
      <c r="G218" s="5" t="str">
        <f t="shared" si="4"/>
        <v>Q2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6">
        <v>45775.0</v>
      </c>
      <c r="B219" s="7" t="s">
        <v>7</v>
      </c>
      <c r="C219" s="8">
        <v>600.0</v>
      </c>
      <c r="D219" s="5">
        <f t="shared" si="1"/>
        <v>2025</v>
      </c>
      <c r="E219" s="5" t="str">
        <f t="shared" si="2"/>
        <v>April</v>
      </c>
      <c r="F219" s="5">
        <f t="shared" si="3"/>
        <v>4</v>
      </c>
      <c r="G219" s="5" t="str">
        <f t="shared" si="4"/>
        <v>Q2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6">
        <v>45777.0</v>
      </c>
      <c r="B220" s="7" t="s">
        <v>8</v>
      </c>
      <c r="C220" s="8">
        <v>45000.0</v>
      </c>
      <c r="D220" s="5">
        <f t="shared" si="1"/>
        <v>2025</v>
      </c>
      <c r="E220" s="5" t="str">
        <f t="shared" si="2"/>
        <v>April</v>
      </c>
      <c r="F220" s="5">
        <f t="shared" si="3"/>
        <v>4</v>
      </c>
      <c r="G220" s="5" t="str">
        <f t="shared" si="4"/>
        <v>Q2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6">
        <v>45786.0</v>
      </c>
      <c r="B221" s="7" t="s">
        <v>9</v>
      </c>
      <c r="C221" s="8">
        <v>800.0</v>
      </c>
      <c r="D221" s="5">
        <f t="shared" si="1"/>
        <v>2025</v>
      </c>
      <c r="E221" s="5" t="str">
        <f t="shared" si="2"/>
        <v>May</v>
      </c>
      <c r="F221" s="5">
        <f t="shared" si="3"/>
        <v>5</v>
      </c>
      <c r="G221" s="5" t="str">
        <f t="shared" si="4"/>
        <v>Q2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6">
        <v>45786.0</v>
      </c>
      <c r="B222" s="7" t="s">
        <v>7</v>
      </c>
      <c r="C222" s="8">
        <v>200.0</v>
      </c>
      <c r="D222" s="5">
        <f t="shared" si="1"/>
        <v>2025</v>
      </c>
      <c r="E222" s="5" t="str">
        <f t="shared" si="2"/>
        <v>May</v>
      </c>
      <c r="F222" s="5">
        <f t="shared" si="3"/>
        <v>5</v>
      </c>
      <c r="G222" s="5" t="str">
        <f t="shared" si="4"/>
        <v>Q2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6">
        <v>45784.0</v>
      </c>
      <c r="B223" s="7" t="s">
        <v>9</v>
      </c>
      <c r="C223" s="8">
        <v>550.0</v>
      </c>
      <c r="D223" s="5">
        <f t="shared" si="1"/>
        <v>2025</v>
      </c>
      <c r="E223" s="5" t="str">
        <f t="shared" si="2"/>
        <v>May</v>
      </c>
      <c r="F223" s="5">
        <f t="shared" si="3"/>
        <v>5</v>
      </c>
      <c r="G223" s="5" t="str">
        <f t="shared" si="4"/>
        <v>Q2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6">
        <v>45786.0</v>
      </c>
      <c r="B224" s="7" t="s">
        <v>7</v>
      </c>
      <c r="C224" s="8">
        <v>100.0</v>
      </c>
      <c r="D224" s="5">
        <f t="shared" si="1"/>
        <v>2025</v>
      </c>
      <c r="E224" s="5" t="str">
        <f t="shared" si="2"/>
        <v>May</v>
      </c>
      <c r="F224" s="5">
        <f t="shared" si="3"/>
        <v>5</v>
      </c>
      <c r="G224" s="5" t="str">
        <f t="shared" si="4"/>
        <v>Q2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6">
        <v>45790.0</v>
      </c>
      <c r="B225" s="7" t="s">
        <v>7</v>
      </c>
      <c r="C225" s="8">
        <v>100.0</v>
      </c>
      <c r="D225" s="5">
        <f t="shared" si="1"/>
        <v>2025</v>
      </c>
      <c r="E225" s="5" t="str">
        <f t="shared" si="2"/>
        <v>May</v>
      </c>
      <c r="F225" s="5">
        <f t="shared" si="3"/>
        <v>5</v>
      </c>
      <c r="G225" s="5" t="str">
        <f t="shared" si="4"/>
        <v>Q2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6">
        <v>45791.0</v>
      </c>
      <c r="B226" s="7" t="s">
        <v>7</v>
      </c>
      <c r="C226" s="8">
        <v>3100.0</v>
      </c>
      <c r="D226" s="5">
        <f t="shared" si="1"/>
        <v>2025</v>
      </c>
      <c r="E226" s="5" t="str">
        <f t="shared" si="2"/>
        <v>May</v>
      </c>
      <c r="F226" s="5">
        <f t="shared" si="3"/>
        <v>5</v>
      </c>
      <c r="G226" s="5" t="str">
        <f t="shared" si="4"/>
        <v>Q2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6">
        <v>45789.0</v>
      </c>
      <c r="B227" s="7" t="s">
        <v>13</v>
      </c>
      <c r="C227" s="8">
        <v>200.0</v>
      </c>
      <c r="D227" s="5">
        <f t="shared" si="1"/>
        <v>2025</v>
      </c>
      <c r="E227" s="5" t="str">
        <f t="shared" si="2"/>
        <v>May</v>
      </c>
      <c r="F227" s="5">
        <f t="shared" si="3"/>
        <v>5</v>
      </c>
      <c r="G227" s="5" t="str">
        <f t="shared" si="4"/>
        <v>Q2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6">
        <v>45789.0</v>
      </c>
      <c r="B228" s="7" t="s">
        <v>23</v>
      </c>
      <c r="C228" s="8">
        <v>1200.0</v>
      </c>
      <c r="D228" s="5">
        <f t="shared" si="1"/>
        <v>2025</v>
      </c>
      <c r="E228" s="5" t="str">
        <f t="shared" si="2"/>
        <v>May</v>
      </c>
      <c r="F228" s="5">
        <f t="shared" si="3"/>
        <v>5</v>
      </c>
      <c r="G228" s="5" t="str">
        <f t="shared" si="4"/>
        <v>Q2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6">
        <v>45798.0</v>
      </c>
      <c r="B229" s="7" t="s">
        <v>7</v>
      </c>
      <c r="C229" s="8">
        <v>1800.0</v>
      </c>
      <c r="D229" s="5">
        <f t="shared" si="1"/>
        <v>2025</v>
      </c>
      <c r="E229" s="5" t="str">
        <f t="shared" si="2"/>
        <v>May</v>
      </c>
      <c r="F229" s="5">
        <f t="shared" si="3"/>
        <v>5</v>
      </c>
      <c r="G229" s="5" t="str">
        <f t="shared" si="4"/>
        <v>Q2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6">
        <v>45810.0</v>
      </c>
      <c r="B230" s="7" t="s">
        <v>7</v>
      </c>
      <c r="C230" s="8">
        <v>1000.0</v>
      </c>
      <c r="D230" s="5">
        <f t="shared" si="1"/>
        <v>2025</v>
      </c>
      <c r="E230" s="5" t="str">
        <f t="shared" si="2"/>
        <v>June</v>
      </c>
      <c r="F230" s="5">
        <f t="shared" si="3"/>
        <v>6</v>
      </c>
      <c r="G230" s="5" t="str">
        <f t="shared" si="4"/>
        <v>Q2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6">
        <v>45809.0</v>
      </c>
      <c r="B231" s="7" t="s">
        <v>15</v>
      </c>
      <c r="C231" s="8">
        <v>1200.0</v>
      </c>
      <c r="D231" s="5">
        <f t="shared" si="1"/>
        <v>2025</v>
      </c>
      <c r="E231" s="5" t="str">
        <f t="shared" si="2"/>
        <v>June</v>
      </c>
      <c r="F231" s="5">
        <f t="shared" si="3"/>
        <v>6</v>
      </c>
      <c r="G231" s="5" t="str">
        <f t="shared" si="4"/>
        <v>Q2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6">
        <v>45809.0</v>
      </c>
      <c r="B232" s="7" t="s">
        <v>13</v>
      </c>
      <c r="C232" s="8">
        <v>200.0</v>
      </c>
      <c r="D232" s="5">
        <f t="shared" si="1"/>
        <v>2025</v>
      </c>
      <c r="E232" s="5" t="str">
        <f t="shared" si="2"/>
        <v>June</v>
      </c>
      <c r="F232" s="5">
        <f t="shared" si="3"/>
        <v>6</v>
      </c>
      <c r="G232" s="5" t="str">
        <f t="shared" si="4"/>
        <v>Q2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6">
        <v>45808.0</v>
      </c>
      <c r="B233" s="7" t="s">
        <v>8</v>
      </c>
      <c r="C233" s="8">
        <v>45000.0</v>
      </c>
      <c r="D233" s="5">
        <f t="shared" si="1"/>
        <v>2025</v>
      </c>
      <c r="E233" s="5" t="str">
        <f t="shared" si="2"/>
        <v>May</v>
      </c>
      <c r="F233" s="5">
        <f t="shared" si="3"/>
        <v>5</v>
      </c>
      <c r="G233" s="5" t="str">
        <f t="shared" si="4"/>
        <v>Q2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6">
        <v>45808.0</v>
      </c>
      <c r="B234" s="7" t="s">
        <v>19</v>
      </c>
      <c r="C234" s="8">
        <v>15000.0</v>
      </c>
      <c r="D234" s="5">
        <f t="shared" si="1"/>
        <v>2025</v>
      </c>
      <c r="E234" s="5" t="str">
        <f t="shared" si="2"/>
        <v>May</v>
      </c>
      <c r="F234" s="5">
        <f t="shared" si="3"/>
        <v>5</v>
      </c>
      <c r="G234" s="5" t="str">
        <f t="shared" si="4"/>
        <v>Q2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6">
        <v>45813.0</v>
      </c>
      <c r="B235" s="7" t="s">
        <v>9</v>
      </c>
      <c r="C235" s="8">
        <v>110.0</v>
      </c>
      <c r="D235" s="5">
        <f t="shared" si="1"/>
        <v>2025</v>
      </c>
      <c r="E235" s="5" t="str">
        <f t="shared" si="2"/>
        <v>June</v>
      </c>
      <c r="F235" s="5">
        <f t="shared" si="3"/>
        <v>6</v>
      </c>
      <c r="G235" s="5" t="str">
        <f t="shared" si="4"/>
        <v>Q2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6">
        <v>45814.0</v>
      </c>
      <c r="B236" s="7" t="s">
        <v>7</v>
      </c>
      <c r="C236" s="8">
        <v>1800.0</v>
      </c>
      <c r="D236" s="5">
        <f t="shared" si="1"/>
        <v>2025</v>
      </c>
      <c r="E236" s="5" t="str">
        <f t="shared" si="2"/>
        <v>June</v>
      </c>
      <c r="F236" s="5">
        <f t="shared" si="3"/>
        <v>6</v>
      </c>
      <c r="G236" s="5" t="str">
        <f t="shared" si="4"/>
        <v>Q2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6">
        <v>45822.0</v>
      </c>
      <c r="B237" s="7" t="s">
        <v>23</v>
      </c>
      <c r="C237" s="8">
        <v>300.0</v>
      </c>
      <c r="D237" s="5">
        <f t="shared" si="1"/>
        <v>2025</v>
      </c>
      <c r="E237" s="5" t="str">
        <f t="shared" si="2"/>
        <v>June</v>
      </c>
      <c r="F237" s="5">
        <f t="shared" si="3"/>
        <v>6</v>
      </c>
      <c r="G237" s="5" t="str">
        <f t="shared" si="4"/>
        <v>Q2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6">
        <v>45822.0</v>
      </c>
      <c r="B238" s="7" t="s">
        <v>13</v>
      </c>
      <c r="C238" s="8">
        <v>100.0</v>
      </c>
      <c r="D238" s="5">
        <f t="shared" si="1"/>
        <v>2025</v>
      </c>
      <c r="E238" s="5" t="str">
        <f t="shared" si="2"/>
        <v>June</v>
      </c>
      <c r="F238" s="5">
        <f t="shared" si="3"/>
        <v>6</v>
      </c>
      <c r="G238" s="5" t="str">
        <f t="shared" si="4"/>
        <v>Q2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6">
        <v>45817.0</v>
      </c>
      <c r="B239" s="7" t="s">
        <v>23</v>
      </c>
      <c r="C239" s="8">
        <v>1350.0</v>
      </c>
      <c r="D239" s="5">
        <f t="shared" si="1"/>
        <v>2025</v>
      </c>
      <c r="E239" s="5" t="str">
        <f t="shared" si="2"/>
        <v>June</v>
      </c>
      <c r="F239" s="5">
        <f t="shared" si="3"/>
        <v>6</v>
      </c>
      <c r="G239" s="5" t="str">
        <f t="shared" si="4"/>
        <v>Q2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6">
        <v>45819.0</v>
      </c>
      <c r="B240" s="7" t="s">
        <v>8</v>
      </c>
      <c r="C240" s="8">
        <v>200.0</v>
      </c>
      <c r="D240" s="5">
        <f t="shared" si="1"/>
        <v>2025</v>
      </c>
      <c r="E240" s="5" t="str">
        <f t="shared" si="2"/>
        <v>June</v>
      </c>
      <c r="F240" s="5">
        <f t="shared" si="3"/>
        <v>6</v>
      </c>
      <c r="G240" s="5" t="str">
        <f t="shared" si="4"/>
        <v>Q2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6">
        <v>45820.0</v>
      </c>
      <c r="B241" s="7" t="s">
        <v>7</v>
      </c>
      <c r="C241" s="8">
        <v>800.0</v>
      </c>
      <c r="D241" s="5">
        <f t="shared" si="1"/>
        <v>2025</v>
      </c>
      <c r="E241" s="5" t="str">
        <f t="shared" si="2"/>
        <v>June</v>
      </c>
      <c r="F241" s="5">
        <f t="shared" si="3"/>
        <v>6</v>
      </c>
      <c r="G241" s="5" t="str">
        <f t="shared" si="4"/>
        <v>Q2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6">
        <v>45824.0</v>
      </c>
      <c r="B242" s="7" t="s">
        <v>7</v>
      </c>
      <c r="C242" s="8">
        <v>1100.0</v>
      </c>
      <c r="D242" s="5">
        <f t="shared" si="1"/>
        <v>2025</v>
      </c>
      <c r="E242" s="5" t="str">
        <f t="shared" si="2"/>
        <v>June</v>
      </c>
      <c r="F242" s="5">
        <f t="shared" si="3"/>
        <v>6</v>
      </c>
      <c r="G242" s="5" t="str">
        <f t="shared" si="4"/>
        <v>Q2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6">
        <v>45831.0</v>
      </c>
      <c r="B243" s="7" t="s">
        <v>7</v>
      </c>
      <c r="C243" s="8">
        <v>1800.0</v>
      </c>
      <c r="D243" s="5">
        <f t="shared" si="1"/>
        <v>2025</v>
      </c>
      <c r="E243" s="5" t="str">
        <f t="shared" si="2"/>
        <v>June</v>
      </c>
      <c r="F243" s="5">
        <f t="shared" si="3"/>
        <v>6</v>
      </c>
      <c r="G243" s="5" t="str">
        <f t="shared" si="4"/>
        <v>Q2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6">
        <v>45836.0</v>
      </c>
      <c r="B244" s="7" t="s">
        <v>13</v>
      </c>
      <c r="C244" s="8">
        <v>100.0</v>
      </c>
      <c r="D244" s="5">
        <f t="shared" si="1"/>
        <v>2025</v>
      </c>
      <c r="E244" s="5" t="str">
        <f t="shared" si="2"/>
        <v>June</v>
      </c>
      <c r="F244" s="5">
        <f t="shared" si="3"/>
        <v>6</v>
      </c>
      <c r="G244" s="5" t="str">
        <f t="shared" si="4"/>
        <v>Q2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6">
        <v>45841.0</v>
      </c>
      <c r="B245" s="7" t="s">
        <v>9</v>
      </c>
      <c r="C245" s="8">
        <v>110.0</v>
      </c>
      <c r="D245" s="5">
        <f t="shared" si="1"/>
        <v>2025</v>
      </c>
      <c r="E245" s="5" t="str">
        <f t="shared" si="2"/>
        <v>July</v>
      </c>
      <c r="F245" s="5">
        <f t="shared" si="3"/>
        <v>7</v>
      </c>
      <c r="G245" s="5" t="str">
        <f t="shared" si="4"/>
        <v>Q3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6">
        <v>45842.0</v>
      </c>
      <c r="B246" s="7" t="s">
        <v>7</v>
      </c>
      <c r="C246" s="8">
        <v>100.0</v>
      </c>
      <c r="D246" s="5">
        <f t="shared" si="1"/>
        <v>2025</v>
      </c>
      <c r="E246" s="5" t="str">
        <f t="shared" si="2"/>
        <v>July</v>
      </c>
      <c r="F246" s="5">
        <f t="shared" si="3"/>
        <v>7</v>
      </c>
      <c r="G246" s="5" t="str">
        <f t="shared" si="4"/>
        <v>Q3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6">
        <v>45846.0</v>
      </c>
      <c r="B247" s="7" t="s">
        <v>7</v>
      </c>
      <c r="C247" s="8">
        <v>2500.0</v>
      </c>
      <c r="D247" s="5">
        <f t="shared" si="1"/>
        <v>2025</v>
      </c>
      <c r="E247" s="5" t="str">
        <f t="shared" si="2"/>
        <v>July</v>
      </c>
      <c r="F247" s="5">
        <f t="shared" si="3"/>
        <v>7</v>
      </c>
      <c r="G247" s="5" t="str">
        <f t="shared" si="4"/>
        <v>Q3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6">
        <v>45846.0</v>
      </c>
      <c r="B248" s="7" t="s">
        <v>9</v>
      </c>
      <c r="C248" s="8">
        <v>360.0</v>
      </c>
      <c r="D248" s="5">
        <f t="shared" si="1"/>
        <v>2025</v>
      </c>
      <c r="E248" s="5" t="str">
        <f t="shared" si="2"/>
        <v>July</v>
      </c>
      <c r="F248" s="5">
        <f t="shared" si="3"/>
        <v>7</v>
      </c>
      <c r="G248" s="5" t="str">
        <f t="shared" si="4"/>
        <v>Q3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6">
        <v>45846.0</v>
      </c>
      <c r="B249" s="7" t="s">
        <v>7</v>
      </c>
      <c r="C249" s="8">
        <v>20.0</v>
      </c>
      <c r="D249" s="5">
        <f t="shared" si="1"/>
        <v>2025</v>
      </c>
      <c r="E249" s="5" t="str">
        <f t="shared" si="2"/>
        <v>July</v>
      </c>
      <c r="F249" s="5">
        <f t="shared" si="3"/>
        <v>7</v>
      </c>
      <c r="G249" s="5" t="str">
        <f t="shared" si="4"/>
        <v>Q3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6">
        <v>45847.0</v>
      </c>
      <c r="B250" s="7" t="s">
        <v>7</v>
      </c>
      <c r="C250" s="8">
        <v>100.0</v>
      </c>
      <c r="D250" s="5">
        <f t="shared" si="1"/>
        <v>2025</v>
      </c>
      <c r="E250" s="5" t="str">
        <f t="shared" si="2"/>
        <v>July</v>
      </c>
      <c r="F250" s="5">
        <f t="shared" si="3"/>
        <v>7</v>
      </c>
      <c r="G250" s="5" t="str">
        <f t="shared" si="4"/>
        <v>Q3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6">
        <v>45848.0</v>
      </c>
      <c r="B251" s="7" t="s">
        <v>7</v>
      </c>
      <c r="C251" s="8">
        <v>3000.0</v>
      </c>
      <c r="D251" s="5">
        <f t="shared" si="1"/>
        <v>2025</v>
      </c>
      <c r="E251" s="5" t="str">
        <f t="shared" si="2"/>
        <v>July</v>
      </c>
      <c r="F251" s="5">
        <f t="shared" si="3"/>
        <v>7</v>
      </c>
      <c r="G251" s="5" t="str">
        <f t="shared" si="4"/>
        <v>Q3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6">
        <v>45849.0</v>
      </c>
      <c r="B252" s="7" t="s">
        <v>7</v>
      </c>
      <c r="C252" s="8">
        <v>400.0</v>
      </c>
      <c r="D252" s="5">
        <f t="shared" si="1"/>
        <v>2025</v>
      </c>
      <c r="E252" s="5" t="str">
        <f t="shared" si="2"/>
        <v>July</v>
      </c>
      <c r="F252" s="5">
        <f t="shared" si="3"/>
        <v>7</v>
      </c>
      <c r="G252" s="5" t="str">
        <f t="shared" si="4"/>
        <v>Q3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6">
        <v>45843.0</v>
      </c>
      <c r="B253" s="7" t="s">
        <v>23</v>
      </c>
      <c r="C253" s="8">
        <v>1350.0</v>
      </c>
      <c r="D253" s="5">
        <f t="shared" si="1"/>
        <v>2025</v>
      </c>
      <c r="E253" s="5" t="str">
        <f t="shared" si="2"/>
        <v>July</v>
      </c>
      <c r="F253" s="5">
        <f t="shared" si="3"/>
        <v>7</v>
      </c>
      <c r="G253" s="5" t="str">
        <f t="shared" si="4"/>
        <v>Q3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6">
        <v>45848.0</v>
      </c>
      <c r="B254" s="7" t="s">
        <v>23</v>
      </c>
      <c r="C254" s="8">
        <v>15050.0</v>
      </c>
      <c r="D254" s="5">
        <f t="shared" si="1"/>
        <v>2025</v>
      </c>
      <c r="E254" s="5" t="str">
        <f t="shared" si="2"/>
        <v>July</v>
      </c>
      <c r="F254" s="5">
        <f t="shared" si="3"/>
        <v>7</v>
      </c>
      <c r="G254" s="5" t="str">
        <f t="shared" si="4"/>
        <v>Q3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6">
        <v>45853.0</v>
      </c>
      <c r="B255" s="7" t="s">
        <v>7</v>
      </c>
      <c r="C255" s="8">
        <v>100.0</v>
      </c>
      <c r="D255" s="5">
        <f t="shared" si="1"/>
        <v>2025</v>
      </c>
      <c r="E255" s="5" t="str">
        <f t="shared" si="2"/>
        <v>July</v>
      </c>
      <c r="F255" s="5">
        <f t="shared" si="3"/>
        <v>7</v>
      </c>
      <c r="G255" s="5" t="str">
        <f t="shared" si="4"/>
        <v>Q3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6">
        <v>45858.0</v>
      </c>
      <c r="B256" s="7" t="s">
        <v>7</v>
      </c>
      <c r="C256" s="8">
        <v>300.0</v>
      </c>
      <c r="D256" s="5">
        <f t="shared" si="1"/>
        <v>2025</v>
      </c>
      <c r="E256" s="5" t="str">
        <f t="shared" si="2"/>
        <v>July</v>
      </c>
      <c r="F256" s="5">
        <f t="shared" si="3"/>
        <v>7</v>
      </c>
      <c r="G256" s="5" t="str">
        <f t="shared" si="4"/>
        <v>Q3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6">
        <v>45859.0</v>
      </c>
      <c r="B257" s="7" t="s">
        <v>7</v>
      </c>
      <c r="C257" s="8">
        <v>400.0</v>
      </c>
      <c r="D257" s="5">
        <f t="shared" si="1"/>
        <v>2025</v>
      </c>
      <c r="E257" s="5" t="str">
        <f t="shared" si="2"/>
        <v>July</v>
      </c>
      <c r="F257" s="5">
        <f t="shared" si="3"/>
        <v>7</v>
      </c>
      <c r="G257" s="5" t="str">
        <f t="shared" si="4"/>
        <v>Q3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6">
        <v>45838.0</v>
      </c>
      <c r="B258" s="7" t="s">
        <v>8</v>
      </c>
      <c r="C258" s="8">
        <v>45000.0</v>
      </c>
      <c r="D258" s="5">
        <f t="shared" si="1"/>
        <v>2025</v>
      </c>
      <c r="E258" s="5" t="str">
        <f t="shared" si="2"/>
        <v>June</v>
      </c>
      <c r="F258" s="5">
        <f t="shared" si="3"/>
        <v>6</v>
      </c>
      <c r="G258" s="5" t="str">
        <f t="shared" si="4"/>
        <v>Q2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6">
        <v>45859.0</v>
      </c>
      <c r="B259" s="7" t="s">
        <v>13</v>
      </c>
      <c r="C259" s="8">
        <v>100.0</v>
      </c>
      <c r="D259" s="5">
        <f t="shared" si="1"/>
        <v>2025</v>
      </c>
      <c r="E259" s="5" t="str">
        <f t="shared" si="2"/>
        <v>July</v>
      </c>
      <c r="F259" s="5">
        <f t="shared" si="3"/>
        <v>7</v>
      </c>
      <c r="G259" s="5" t="str">
        <f t="shared" si="4"/>
        <v>Q3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6">
        <v>45864.0</v>
      </c>
      <c r="B260" s="7" t="s">
        <v>9</v>
      </c>
      <c r="C260" s="8">
        <v>100.0</v>
      </c>
      <c r="D260" s="5">
        <f t="shared" si="1"/>
        <v>2025</v>
      </c>
      <c r="E260" s="5" t="str">
        <f t="shared" si="2"/>
        <v>July</v>
      </c>
      <c r="F260" s="5">
        <f t="shared" si="3"/>
        <v>7</v>
      </c>
      <c r="G260" s="5" t="str">
        <f t="shared" si="4"/>
        <v>Q3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6">
        <v>45866.0</v>
      </c>
      <c r="B261" s="7" t="s">
        <v>16</v>
      </c>
      <c r="C261" s="8">
        <v>200.0</v>
      </c>
      <c r="D261" s="5">
        <f t="shared" si="1"/>
        <v>2025</v>
      </c>
      <c r="E261" s="5" t="str">
        <f t="shared" si="2"/>
        <v>July</v>
      </c>
      <c r="F261" s="5">
        <f t="shared" si="3"/>
        <v>7</v>
      </c>
      <c r="G261" s="5" t="str">
        <f t="shared" si="4"/>
        <v>Q3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6">
        <v>45866.0</v>
      </c>
      <c r="B262" s="7" t="s">
        <v>9</v>
      </c>
      <c r="C262" s="8">
        <v>100.0</v>
      </c>
      <c r="D262" s="5">
        <f t="shared" si="1"/>
        <v>2025</v>
      </c>
      <c r="E262" s="5" t="str">
        <f t="shared" si="2"/>
        <v>July</v>
      </c>
      <c r="F262" s="5">
        <f t="shared" si="3"/>
        <v>7</v>
      </c>
      <c r="G262" s="5" t="str">
        <f t="shared" si="4"/>
        <v>Q3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6">
        <v>45868.0</v>
      </c>
      <c r="B263" s="7" t="s">
        <v>8</v>
      </c>
      <c r="C263" s="8">
        <v>30000.0</v>
      </c>
      <c r="D263" s="5">
        <f t="shared" si="1"/>
        <v>2025</v>
      </c>
      <c r="E263" s="5" t="str">
        <f t="shared" si="2"/>
        <v>July</v>
      </c>
      <c r="F263" s="5">
        <f t="shared" si="3"/>
        <v>7</v>
      </c>
      <c r="G263" s="5" t="str">
        <f t="shared" si="4"/>
        <v>Q3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6">
        <v>45869.0</v>
      </c>
      <c r="B264" s="7" t="s">
        <v>7</v>
      </c>
      <c r="C264" s="8">
        <v>500.0</v>
      </c>
      <c r="D264" s="5">
        <f t="shared" si="1"/>
        <v>2025</v>
      </c>
      <c r="E264" s="5" t="str">
        <f t="shared" si="2"/>
        <v>July</v>
      </c>
      <c r="F264" s="5">
        <f t="shared" si="3"/>
        <v>7</v>
      </c>
      <c r="G264" s="5" t="str">
        <f t="shared" si="4"/>
        <v>Q3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6">
        <v>45865.0</v>
      </c>
      <c r="B265" s="7" t="s">
        <v>21</v>
      </c>
      <c r="C265" s="8">
        <v>1000.0</v>
      </c>
      <c r="D265" s="5">
        <f t="shared" si="1"/>
        <v>2025</v>
      </c>
      <c r="E265" s="5" t="str">
        <f t="shared" si="2"/>
        <v>July</v>
      </c>
      <c r="F265" s="5">
        <f t="shared" si="3"/>
        <v>7</v>
      </c>
      <c r="G265" s="5" t="str">
        <f t="shared" si="4"/>
        <v>Q3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6">
        <v>45877.0</v>
      </c>
      <c r="B266" s="7" t="s">
        <v>9</v>
      </c>
      <c r="C266" s="8">
        <v>110.0</v>
      </c>
      <c r="D266" s="5">
        <f t="shared" si="1"/>
        <v>2025</v>
      </c>
      <c r="E266" s="5" t="str">
        <f t="shared" si="2"/>
        <v>August</v>
      </c>
      <c r="F266" s="5">
        <f t="shared" si="3"/>
        <v>8</v>
      </c>
      <c r="G266" s="5" t="str">
        <f t="shared" si="4"/>
        <v>Q3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6">
        <v>45877.0</v>
      </c>
      <c r="B267" s="7" t="s">
        <v>7</v>
      </c>
      <c r="C267" s="8">
        <v>2390.0</v>
      </c>
      <c r="D267" s="5">
        <f t="shared" si="1"/>
        <v>2025</v>
      </c>
      <c r="E267" s="5" t="str">
        <f t="shared" si="2"/>
        <v>August</v>
      </c>
      <c r="F267" s="5">
        <f t="shared" si="3"/>
        <v>8</v>
      </c>
      <c r="G267" s="5" t="str">
        <f t="shared" si="4"/>
        <v>Q3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6">
        <v>45877.0</v>
      </c>
      <c r="B268" s="7" t="s">
        <v>31</v>
      </c>
      <c r="C268" s="8">
        <v>420.0</v>
      </c>
      <c r="D268" s="5">
        <f t="shared" si="1"/>
        <v>2025</v>
      </c>
      <c r="E268" s="5" t="str">
        <f t="shared" si="2"/>
        <v>August</v>
      </c>
      <c r="F268" s="5">
        <f t="shared" si="3"/>
        <v>8</v>
      </c>
      <c r="G268" s="5" t="str">
        <f t="shared" si="4"/>
        <v>Q3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6">
        <v>45869.0</v>
      </c>
      <c r="B269" s="7" t="s">
        <v>8</v>
      </c>
      <c r="C269" s="8">
        <v>15000.0</v>
      </c>
      <c r="D269" s="5">
        <f t="shared" si="1"/>
        <v>2025</v>
      </c>
      <c r="E269" s="5" t="str">
        <f t="shared" si="2"/>
        <v>July</v>
      </c>
      <c r="F269" s="5">
        <f t="shared" si="3"/>
        <v>7</v>
      </c>
      <c r="G269" s="5" t="str">
        <f t="shared" si="4"/>
        <v>Q3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6">
        <v>45894.0</v>
      </c>
      <c r="B270" s="7" t="s">
        <v>7</v>
      </c>
      <c r="C270" s="8">
        <v>100.0</v>
      </c>
      <c r="D270" s="5">
        <f t="shared" si="1"/>
        <v>2025</v>
      </c>
      <c r="E270" s="5" t="str">
        <f t="shared" si="2"/>
        <v>August</v>
      </c>
      <c r="F270" s="5">
        <f t="shared" si="3"/>
        <v>8</v>
      </c>
      <c r="G270" s="5" t="str">
        <f t="shared" si="4"/>
        <v>Q3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6">
        <v>45898.0</v>
      </c>
      <c r="B271" s="7" t="s">
        <v>7</v>
      </c>
      <c r="C271" s="8">
        <v>450.0</v>
      </c>
      <c r="D271" s="5">
        <f t="shared" si="1"/>
        <v>2025</v>
      </c>
      <c r="E271" s="5" t="str">
        <f t="shared" si="2"/>
        <v>August</v>
      </c>
      <c r="F271" s="5">
        <f t="shared" si="3"/>
        <v>8</v>
      </c>
      <c r="G271" s="5" t="str">
        <f t="shared" si="4"/>
        <v>Q3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6">
        <v>45899.0</v>
      </c>
      <c r="B272" s="7" t="s">
        <v>8</v>
      </c>
      <c r="C272" s="8">
        <v>45000.0</v>
      </c>
      <c r="D272" s="5">
        <f t="shared" si="1"/>
        <v>2025</v>
      </c>
      <c r="E272" s="5" t="str">
        <f t="shared" si="2"/>
        <v>August</v>
      </c>
      <c r="F272" s="5">
        <f t="shared" si="3"/>
        <v>8</v>
      </c>
      <c r="G272" s="5" t="str">
        <f t="shared" si="4"/>
        <v>Q3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6">
        <v>45903.0</v>
      </c>
      <c r="B273" s="7" t="s">
        <v>7</v>
      </c>
      <c r="C273" s="8">
        <v>1850.0</v>
      </c>
      <c r="D273" s="5">
        <f t="shared" si="1"/>
        <v>2025</v>
      </c>
      <c r="E273" s="5" t="str">
        <f t="shared" si="2"/>
        <v>September</v>
      </c>
      <c r="F273" s="5">
        <f t="shared" si="3"/>
        <v>9</v>
      </c>
      <c r="G273" s="5" t="str">
        <f t="shared" si="4"/>
        <v>Q3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6">
        <v>45888.0</v>
      </c>
      <c r="B274" s="7" t="s">
        <v>9</v>
      </c>
      <c r="C274" s="8">
        <v>450.0</v>
      </c>
      <c r="D274" s="5">
        <f t="shared" si="1"/>
        <v>2025</v>
      </c>
      <c r="E274" s="5" t="str">
        <f t="shared" si="2"/>
        <v>August</v>
      </c>
      <c r="F274" s="5">
        <f t="shared" si="3"/>
        <v>8</v>
      </c>
      <c r="G274" s="5" t="str">
        <f t="shared" si="4"/>
        <v>Q3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6">
        <v>45798.0</v>
      </c>
      <c r="B275" s="7" t="s">
        <v>23</v>
      </c>
      <c r="C275" s="8">
        <v>500.0</v>
      </c>
      <c r="D275" s="5">
        <f t="shared" si="1"/>
        <v>2025</v>
      </c>
      <c r="E275" s="5" t="str">
        <f t="shared" si="2"/>
        <v>May</v>
      </c>
      <c r="F275" s="5">
        <f t="shared" si="3"/>
        <v>5</v>
      </c>
      <c r="G275" s="5" t="str">
        <f t="shared" si="4"/>
        <v>Q2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6">
        <v>45798.0</v>
      </c>
      <c r="B276" s="7" t="s">
        <v>23</v>
      </c>
      <c r="C276" s="8">
        <v>850.0</v>
      </c>
      <c r="D276" s="5">
        <f t="shared" si="1"/>
        <v>2025</v>
      </c>
      <c r="E276" s="5" t="str">
        <f t="shared" si="2"/>
        <v>May</v>
      </c>
      <c r="F276" s="5">
        <f t="shared" si="3"/>
        <v>5</v>
      </c>
      <c r="G276" s="5" t="str">
        <f t="shared" si="4"/>
        <v>Q2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6">
        <v>45826.0</v>
      </c>
      <c r="B277" s="7" t="s">
        <v>23</v>
      </c>
      <c r="C277" s="8">
        <v>350.0</v>
      </c>
      <c r="D277" s="5">
        <f t="shared" si="1"/>
        <v>2025</v>
      </c>
      <c r="E277" s="5" t="str">
        <f t="shared" si="2"/>
        <v>June</v>
      </c>
      <c r="F277" s="5">
        <f t="shared" si="3"/>
        <v>6</v>
      </c>
      <c r="G277" s="5" t="str">
        <f t="shared" si="4"/>
        <v>Q2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6">
        <v>45897.0</v>
      </c>
      <c r="B278" s="7" t="s">
        <v>23</v>
      </c>
      <c r="C278" s="8">
        <v>439.0</v>
      </c>
      <c r="D278" s="5">
        <f t="shared" si="1"/>
        <v>2025</v>
      </c>
      <c r="E278" s="5" t="str">
        <f t="shared" si="2"/>
        <v>August</v>
      </c>
      <c r="F278" s="5">
        <f t="shared" si="3"/>
        <v>8</v>
      </c>
      <c r="G278" s="5" t="str">
        <f t="shared" si="4"/>
        <v>Q3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6">
        <v>45783.0</v>
      </c>
      <c r="B279" s="7" t="s">
        <v>10</v>
      </c>
      <c r="C279" s="8">
        <v>135.0</v>
      </c>
      <c r="D279" s="5">
        <f t="shared" si="1"/>
        <v>2025</v>
      </c>
      <c r="E279" s="5" t="str">
        <f t="shared" si="2"/>
        <v>May</v>
      </c>
      <c r="F279" s="5">
        <f t="shared" si="3"/>
        <v>5</v>
      </c>
      <c r="G279" s="5" t="str">
        <f t="shared" si="4"/>
        <v>Q2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6">
        <v>45905.0</v>
      </c>
      <c r="B280" s="7" t="s">
        <v>31</v>
      </c>
      <c r="C280" s="8">
        <v>330.0</v>
      </c>
      <c r="D280" s="5">
        <f t="shared" si="1"/>
        <v>2025</v>
      </c>
      <c r="E280" s="5" t="str">
        <f t="shared" si="2"/>
        <v>September</v>
      </c>
      <c r="F280" s="5">
        <f t="shared" si="3"/>
        <v>9</v>
      </c>
      <c r="G280" s="5" t="str">
        <f t="shared" si="4"/>
        <v>Q3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6">
        <v>45926.0</v>
      </c>
      <c r="B281" s="7" t="s">
        <v>7</v>
      </c>
      <c r="C281" s="8">
        <v>1000.0</v>
      </c>
      <c r="D281" s="5">
        <f t="shared" si="1"/>
        <v>2025</v>
      </c>
      <c r="E281" s="5" t="str">
        <f t="shared" si="2"/>
        <v>September</v>
      </c>
      <c r="F281" s="5">
        <f t="shared" si="3"/>
        <v>9</v>
      </c>
      <c r="G281" s="5" t="str">
        <f t="shared" si="4"/>
        <v>Q3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6">
        <v>45931.0</v>
      </c>
      <c r="B282" s="7" t="s">
        <v>7</v>
      </c>
      <c r="C282" s="8">
        <v>1500.0</v>
      </c>
      <c r="D282" s="5">
        <f t="shared" si="1"/>
        <v>2025</v>
      </c>
      <c r="E282" s="5" t="str">
        <f t="shared" si="2"/>
        <v>October</v>
      </c>
      <c r="F282" s="5">
        <f t="shared" si="3"/>
        <v>10</v>
      </c>
      <c r="G282" s="5" t="str">
        <f t="shared" si="4"/>
        <v>Q4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6">
        <v>45925.0</v>
      </c>
      <c r="B283" s="7" t="s">
        <v>23</v>
      </c>
      <c r="C283" s="8">
        <v>5950.0</v>
      </c>
      <c r="D283" s="5">
        <f t="shared" si="1"/>
        <v>2025</v>
      </c>
      <c r="E283" s="5" t="str">
        <f t="shared" si="2"/>
        <v>September</v>
      </c>
      <c r="F283" s="5">
        <f t="shared" si="3"/>
        <v>9</v>
      </c>
      <c r="G283" s="5" t="str">
        <f t="shared" si="4"/>
        <v>Q3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6">
        <v>45935.0</v>
      </c>
      <c r="B284" s="7" t="s">
        <v>8</v>
      </c>
      <c r="C284" s="8">
        <v>200.0</v>
      </c>
      <c r="D284" s="5">
        <f t="shared" si="1"/>
        <v>2025</v>
      </c>
      <c r="E284" s="5" t="str">
        <f t="shared" si="2"/>
        <v>October</v>
      </c>
      <c r="F284" s="5">
        <f t="shared" si="3"/>
        <v>10</v>
      </c>
      <c r="G284" s="5" t="str">
        <f t="shared" si="4"/>
        <v>Q4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6">
        <v>45935.0</v>
      </c>
      <c r="B285" s="7" t="s">
        <v>7</v>
      </c>
      <c r="C285" s="8">
        <v>100.0</v>
      </c>
      <c r="D285" s="5">
        <f t="shared" si="1"/>
        <v>2025</v>
      </c>
      <c r="E285" s="5" t="str">
        <f t="shared" si="2"/>
        <v>October</v>
      </c>
      <c r="F285" s="5">
        <f t="shared" si="3"/>
        <v>10</v>
      </c>
      <c r="G285" s="5" t="str">
        <f t="shared" si="4"/>
        <v>Q4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6">
        <v>45936.0</v>
      </c>
      <c r="B286" s="7" t="s">
        <v>7</v>
      </c>
      <c r="C286" s="8">
        <v>1700.0</v>
      </c>
      <c r="D286" s="5">
        <f t="shared" si="1"/>
        <v>2025</v>
      </c>
      <c r="E286" s="5" t="str">
        <f t="shared" si="2"/>
        <v>October</v>
      </c>
      <c r="F286" s="5">
        <f t="shared" si="3"/>
        <v>10</v>
      </c>
      <c r="G286" s="5" t="str">
        <f t="shared" si="4"/>
        <v>Q4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6">
        <v>45929.0</v>
      </c>
      <c r="B287" s="7" t="s">
        <v>8</v>
      </c>
      <c r="C287" s="8">
        <v>45000.0</v>
      </c>
      <c r="D287" s="5">
        <f t="shared" si="1"/>
        <v>2025</v>
      </c>
      <c r="E287" s="5" t="str">
        <f t="shared" si="2"/>
        <v>September</v>
      </c>
      <c r="F287" s="5">
        <f t="shared" si="3"/>
        <v>9</v>
      </c>
      <c r="G287" s="5" t="str">
        <f t="shared" si="4"/>
        <v>Q3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6">
        <v>45938.0</v>
      </c>
      <c r="B288" s="7" t="s">
        <v>7</v>
      </c>
      <c r="C288" s="8">
        <v>500.0</v>
      </c>
      <c r="D288" s="5">
        <f t="shared" si="1"/>
        <v>2025</v>
      </c>
      <c r="E288" s="5" t="str">
        <f t="shared" si="2"/>
        <v>October</v>
      </c>
      <c r="F288" s="5">
        <f t="shared" si="3"/>
        <v>10</v>
      </c>
      <c r="G288" s="5" t="str">
        <f t="shared" si="4"/>
        <v>Q4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6">
        <v>45938.0</v>
      </c>
      <c r="B289" s="7" t="s">
        <v>32</v>
      </c>
      <c r="C289" s="8">
        <v>500.0</v>
      </c>
      <c r="D289" s="5">
        <f t="shared" si="1"/>
        <v>2025</v>
      </c>
      <c r="E289" s="5" t="str">
        <f t="shared" si="2"/>
        <v>October</v>
      </c>
      <c r="F289" s="5">
        <f t="shared" si="3"/>
        <v>10</v>
      </c>
      <c r="G289" s="5" t="str">
        <f t="shared" si="4"/>
        <v>Q4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6">
        <v>45951.0</v>
      </c>
      <c r="B290" s="7" t="s">
        <v>8</v>
      </c>
      <c r="C290" s="8">
        <v>100.0</v>
      </c>
      <c r="D290" s="5">
        <f t="shared" si="1"/>
        <v>2025</v>
      </c>
      <c r="E290" s="5" t="str">
        <f t="shared" si="2"/>
        <v>October</v>
      </c>
      <c r="F290" s="5">
        <f t="shared" si="3"/>
        <v>10</v>
      </c>
      <c r="G290" s="5" t="str">
        <f t="shared" si="4"/>
        <v>Q4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6">
        <v>45951.0</v>
      </c>
      <c r="B291" s="7" t="s">
        <v>7</v>
      </c>
      <c r="C291" s="8">
        <v>1060.0</v>
      </c>
      <c r="D291" s="5">
        <f t="shared" si="1"/>
        <v>2025</v>
      </c>
      <c r="E291" s="5" t="str">
        <f t="shared" si="2"/>
        <v>October</v>
      </c>
      <c r="F291" s="5">
        <f t="shared" si="3"/>
        <v>10</v>
      </c>
      <c r="G291" s="5" t="str">
        <f t="shared" si="4"/>
        <v>Q4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6">
        <v>45950.0</v>
      </c>
      <c r="B292" s="7" t="s">
        <v>23</v>
      </c>
      <c r="C292" s="8">
        <v>338.0</v>
      </c>
      <c r="D292" s="5">
        <f t="shared" si="1"/>
        <v>2025</v>
      </c>
      <c r="E292" s="5" t="str">
        <f t="shared" si="2"/>
        <v>October</v>
      </c>
      <c r="F292" s="5">
        <f t="shared" si="3"/>
        <v>10</v>
      </c>
      <c r="G292" s="5" t="str">
        <f t="shared" si="4"/>
        <v>Q4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6">
        <v>45952.0</v>
      </c>
      <c r="B293" s="7" t="s">
        <v>7</v>
      </c>
      <c r="C293" s="8">
        <v>100.0</v>
      </c>
      <c r="D293" s="5">
        <f t="shared" si="1"/>
        <v>2025</v>
      </c>
      <c r="E293" s="5" t="str">
        <f t="shared" si="2"/>
        <v>October</v>
      </c>
      <c r="F293" s="5">
        <f t="shared" si="3"/>
        <v>10</v>
      </c>
      <c r="G293" s="5" t="str">
        <f t="shared" si="4"/>
        <v>Q4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6">
        <v>45952.0</v>
      </c>
      <c r="B294" s="7" t="s">
        <v>23</v>
      </c>
      <c r="C294" s="8">
        <v>209.0</v>
      </c>
      <c r="D294" s="5">
        <f t="shared" si="1"/>
        <v>2025</v>
      </c>
      <c r="E294" s="5" t="str">
        <f t="shared" si="2"/>
        <v>October</v>
      </c>
      <c r="F294" s="5">
        <f t="shared" si="3"/>
        <v>10</v>
      </c>
      <c r="G294" s="5" t="str">
        <f t="shared" si="4"/>
        <v>Q4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6">
        <v>45952.0</v>
      </c>
      <c r="B295" s="7" t="s">
        <v>7</v>
      </c>
      <c r="C295" s="8">
        <v>690.0</v>
      </c>
      <c r="D295" s="5">
        <f t="shared" si="1"/>
        <v>2025</v>
      </c>
      <c r="E295" s="5" t="str">
        <f t="shared" si="2"/>
        <v>October</v>
      </c>
      <c r="F295" s="5">
        <f t="shared" si="3"/>
        <v>10</v>
      </c>
      <c r="G295" s="5" t="str">
        <f t="shared" si="4"/>
        <v>Q4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6">
        <v>45961.0</v>
      </c>
      <c r="B296" s="7" t="s">
        <v>8</v>
      </c>
      <c r="C296" s="8">
        <v>33500.0</v>
      </c>
      <c r="D296" s="5">
        <f t="shared" si="1"/>
        <v>2025</v>
      </c>
      <c r="E296" s="5" t="str">
        <f t="shared" si="2"/>
        <v>October</v>
      </c>
      <c r="F296" s="5">
        <f t="shared" si="3"/>
        <v>10</v>
      </c>
      <c r="G296" s="5" t="str">
        <f t="shared" si="4"/>
        <v>Q4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6">
        <v>45961.0</v>
      </c>
      <c r="B297" s="7" t="s">
        <v>7</v>
      </c>
      <c r="C297" s="8">
        <v>700.0</v>
      </c>
      <c r="D297" s="5">
        <f t="shared" si="1"/>
        <v>2025</v>
      </c>
      <c r="E297" s="5" t="str">
        <f t="shared" si="2"/>
        <v>October</v>
      </c>
      <c r="F297" s="5">
        <f t="shared" si="3"/>
        <v>10</v>
      </c>
      <c r="G297" s="5" t="str">
        <f t="shared" si="4"/>
        <v>Q4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6">
        <v>45969.0</v>
      </c>
      <c r="B298" s="7" t="s">
        <v>23</v>
      </c>
      <c r="C298" s="8">
        <v>350.0</v>
      </c>
      <c r="D298" s="5">
        <f t="shared" si="1"/>
        <v>2025</v>
      </c>
      <c r="E298" s="5" t="str">
        <f t="shared" si="2"/>
        <v>November</v>
      </c>
      <c r="F298" s="5">
        <f t="shared" si="3"/>
        <v>11</v>
      </c>
      <c r="G298" s="5" t="str">
        <f t="shared" si="4"/>
        <v>Q4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6">
        <v>45969.0</v>
      </c>
      <c r="B299" s="7" t="s">
        <v>9</v>
      </c>
      <c r="C299" s="8">
        <v>30.0</v>
      </c>
      <c r="D299" s="5">
        <f t="shared" si="1"/>
        <v>2025</v>
      </c>
      <c r="E299" s="5" t="str">
        <f t="shared" si="2"/>
        <v>November</v>
      </c>
      <c r="F299" s="5">
        <f t="shared" si="3"/>
        <v>11</v>
      </c>
      <c r="G299" s="5" t="str">
        <f t="shared" si="4"/>
        <v>Q4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6">
        <v>45972.0</v>
      </c>
      <c r="B300" s="7" t="s">
        <v>9</v>
      </c>
      <c r="C300" s="8">
        <v>120.0</v>
      </c>
      <c r="D300" s="5">
        <f t="shared" si="1"/>
        <v>2025</v>
      </c>
      <c r="E300" s="5" t="str">
        <f t="shared" si="2"/>
        <v>November</v>
      </c>
      <c r="F300" s="5">
        <f t="shared" si="3"/>
        <v>11</v>
      </c>
      <c r="G300" s="5" t="str">
        <f t="shared" si="4"/>
        <v>Q4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6">
        <v>45981.0</v>
      </c>
      <c r="B301" s="7" t="s">
        <v>9</v>
      </c>
      <c r="C301" s="8">
        <v>120.0</v>
      </c>
      <c r="D301" s="5">
        <f t="shared" si="1"/>
        <v>2025</v>
      </c>
      <c r="E301" s="5" t="str">
        <f t="shared" si="2"/>
        <v>November</v>
      </c>
      <c r="F301" s="5">
        <f t="shared" si="3"/>
        <v>11</v>
      </c>
      <c r="G301" s="5" t="str">
        <f t="shared" si="4"/>
        <v>Q4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6">
        <v>45981.0</v>
      </c>
      <c r="B302" s="7" t="s">
        <v>16</v>
      </c>
      <c r="C302" s="8">
        <v>100.0</v>
      </c>
      <c r="D302" s="5">
        <f t="shared" si="1"/>
        <v>2025</v>
      </c>
      <c r="E302" s="5" t="str">
        <f t="shared" si="2"/>
        <v>November</v>
      </c>
      <c r="F302" s="5">
        <f t="shared" si="3"/>
        <v>11</v>
      </c>
      <c r="G302" s="5" t="str">
        <f t="shared" si="4"/>
        <v>Q4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6">
        <v>45983.0</v>
      </c>
      <c r="B303" s="7" t="s">
        <v>31</v>
      </c>
      <c r="C303" s="8">
        <v>100.0</v>
      </c>
      <c r="D303" s="5">
        <f t="shared" si="1"/>
        <v>2025</v>
      </c>
      <c r="E303" s="5" t="str">
        <f t="shared" si="2"/>
        <v>November</v>
      </c>
      <c r="F303" s="5">
        <f t="shared" si="3"/>
        <v>11</v>
      </c>
      <c r="G303" s="5" t="str">
        <f t="shared" si="4"/>
        <v>Q4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6">
        <v>45985.0</v>
      </c>
      <c r="B304" s="7" t="s">
        <v>7</v>
      </c>
      <c r="C304" s="8">
        <v>1500.0</v>
      </c>
      <c r="D304" s="5">
        <f t="shared" si="1"/>
        <v>2025</v>
      </c>
      <c r="E304" s="5" t="str">
        <f t="shared" si="2"/>
        <v>November</v>
      </c>
      <c r="F304" s="5">
        <f t="shared" si="3"/>
        <v>11</v>
      </c>
      <c r="G304" s="5" t="str">
        <f t="shared" si="4"/>
        <v>Q4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6">
        <v>45991.0</v>
      </c>
      <c r="B305" s="7" t="s">
        <v>8</v>
      </c>
      <c r="C305" s="8">
        <v>26000.0</v>
      </c>
      <c r="D305" s="5">
        <f t="shared" si="1"/>
        <v>2025</v>
      </c>
      <c r="E305" s="5" t="str">
        <f t="shared" si="2"/>
        <v>November</v>
      </c>
      <c r="F305" s="5">
        <f t="shared" si="3"/>
        <v>11</v>
      </c>
      <c r="G305" s="5" t="str">
        <f t="shared" si="4"/>
        <v>Q4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6">
        <v>45989.0</v>
      </c>
      <c r="B306" s="7" t="s">
        <v>7</v>
      </c>
      <c r="C306" s="8">
        <v>1000.0</v>
      </c>
      <c r="D306" s="5">
        <f t="shared" si="1"/>
        <v>2025</v>
      </c>
      <c r="E306" s="5" t="str">
        <f t="shared" si="2"/>
        <v>November</v>
      </c>
      <c r="F306" s="5">
        <f t="shared" si="3"/>
        <v>11</v>
      </c>
      <c r="G306" s="5" t="str">
        <f t="shared" si="4"/>
        <v>Q4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6">
        <v>45996.0</v>
      </c>
      <c r="B307" s="7" t="s">
        <v>24</v>
      </c>
      <c r="C307" s="8">
        <v>110.0</v>
      </c>
      <c r="D307" s="5">
        <f t="shared" si="1"/>
        <v>2025</v>
      </c>
      <c r="E307" s="5" t="str">
        <f t="shared" si="2"/>
        <v>December</v>
      </c>
      <c r="F307" s="5">
        <f t="shared" si="3"/>
        <v>12</v>
      </c>
      <c r="G307" s="5" t="str">
        <f t="shared" si="4"/>
        <v>Q4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6">
        <v>45997.0</v>
      </c>
      <c r="B308" s="7" t="s">
        <v>7</v>
      </c>
      <c r="C308" s="8">
        <v>2090.0</v>
      </c>
      <c r="D308" s="5">
        <f t="shared" si="1"/>
        <v>2025</v>
      </c>
      <c r="E308" s="5" t="str">
        <f t="shared" si="2"/>
        <v>December</v>
      </c>
      <c r="F308" s="5">
        <f t="shared" si="3"/>
        <v>12</v>
      </c>
      <c r="G308" s="5" t="str">
        <f t="shared" si="4"/>
        <v>Q4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6">
        <v>46000.0</v>
      </c>
      <c r="B309" s="7" t="s">
        <v>7</v>
      </c>
      <c r="C309" s="8">
        <v>1000.0</v>
      </c>
      <c r="D309" s="5">
        <f t="shared" si="1"/>
        <v>2025</v>
      </c>
      <c r="E309" s="5" t="str">
        <f t="shared" si="2"/>
        <v>December</v>
      </c>
      <c r="F309" s="5">
        <f t="shared" si="3"/>
        <v>12</v>
      </c>
      <c r="G309" s="5" t="str">
        <f t="shared" si="4"/>
        <v>Q4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6">
        <v>45997.0</v>
      </c>
      <c r="B310" s="7" t="s">
        <v>23</v>
      </c>
      <c r="C310" s="8">
        <v>6400.0</v>
      </c>
      <c r="D310" s="5">
        <f t="shared" si="1"/>
        <v>2025</v>
      </c>
      <c r="E310" s="5" t="str">
        <f t="shared" si="2"/>
        <v>December</v>
      </c>
      <c r="F310" s="5">
        <f t="shared" si="3"/>
        <v>12</v>
      </c>
      <c r="G310" s="5" t="str">
        <f t="shared" si="4"/>
        <v>Q4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6">
        <v>46014.0</v>
      </c>
      <c r="B311" s="7" t="s">
        <v>23</v>
      </c>
      <c r="C311" s="8">
        <v>8200.0</v>
      </c>
      <c r="D311" s="5">
        <f t="shared" si="1"/>
        <v>2025</v>
      </c>
      <c r="E311" s="5" t="str">
        <f t="shared" si="2"/>
        <v>December</v>
      </c>
      <c r="F311" s="5">
        <f t="shared" si="3"/>
        <v>12</v>
      </c>
      <c r="G311" s="5" t="str">
        <f t="shared" si="4"/>
        <v>Q4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6">
        <v>46025.0</v>
      </c>
      <c r="B312" s="7" t="s">
        <v>11</v>
      </c>
      <c r="C312" s="8">
        <v>14980.0</v>
      </c>
      <c r="D312" s="5">
        <f t="shared" si="1"/>
        <v>2026</v>
      </c>
      <c r="E312" s="5" t="str">
        <f t="shared" si="2"/>
        <v>January</v>
      </c>
      <c r="F312" s="5">
        <f t="shared" si="3"/>
        <v>1</v>
      </c>
      <c r="G312" s="5" t="str">
        <f t="shared" si="4"/>
        <v>Q1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6">
        <v>46031.0</v>
      </c>
      <c r="B313" s="7" t="s">
        <v>23</v>
      </c>
      <c r="C313" s="8">
        <v>13550.0</v>
      </c>
      <c r="D313" s="5">
        <f t="shared" si="1"/>
        <v>2026</v>
      </c>
      <c r="E313" s="5" t="str">
        <f t="shared" si="2"/>
        <v>January</v>
      </c>
      <c r="F313" s="5">
        <f t="shared" si="3"/>
        <v>1</v>
      </c>
      <c r="G313" s="5" t="str">
        <f t="shared" si="4"/>
        <v>Q1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6">
        <v>46036.0</v>
      </c>
      <c r="B314" s="7" t="s">
        <v>7</v>
      </c>
      <c r="C314" s="8">
        <v>2100.0</v>
      </c>
      <c r="D314" s="5">
        <f t="shared" si="1"/>
        <v>2026</v>
      </c>
      <c r="E314" s="5" t="str">
        <f t="shared" si="2"/>
        <v>January</v>
      </c>
      <c r="F314" s="5">
        <f t="shared" si="3"/>
        <v>1</v>
      </c>
      <c r="G314" s="5" t="str">
        <f t="shared" si="4"/>
        <v>Q1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6">
        <v>46035.0</v>
      </c>
      <c r="B315" s="7" t="s">
        <v>9</v>
      </c>
      <c r="C315" s="8">
        <v>1600.0</v>
      </c>
      <c r="D315" s="5">
        <f t="shared" si="1"/>
        <v>2026</v>
      </c>
      <c r="E315" s="5" t="str">
        <f t="shared" si="2"/>
        <v>January</v>
      </c>
      <c r="F315" s="5">
        <f t="shared" si="3"/>
        <v>1</v>
      </c>
      <c r="G315" s="5" t="str">
        <f t="shared" si="4"/>
        <v>Q1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6">
        <v>46036.0</v>
      </c>
      <c r="B316" s="7" t="s">
        <v>24</v>
      </c>
      <c r="C316" s="8">
        <v>70.0</v>
      </c>
      <c r="D316" s="5">
        <f t="shared" si="1"/>
        <v>2026</v>
      </c>
      <c r="E316" s="5" t="str">
        <f t="shared" si="2"/>
        <v>January</v>
      </c>
      <c r="F316" s="5">
        <f t="shared" si="3"/>
        <v>1</v>
      </c>
      <c r="G316" s="5" t="str">
        <f t="shared" si="4"/>
        <v>Q1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6">
        <v>46031.0</v>
      </c>
      <c r="B317" s="7" t="s">
        <v>11</v>
      </c>
      <c r="C317" s="8">
        <v>7106.0</v>
      </c>
      <c r="D317" s="5">
        <f t="shared" si="1"/>
        <v>2026</v>
      </c>
      <c r="E317" s="5" t="str">
        <f t="shared" si="2"/>
        <v>January</v>
      </c>
      <c r="F317" s="5">
        <f t="shared" si="3"/>
        <v>1</v>
      </c>
      <c r="G317" s="5" t="str">
        <f t="shared" si="4"/>
        <v>Q1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6">
        <v>46042.0</v>
      </c>
      <c r="B318" s="7" t="s">
        <v>7</v>
      </c>
      <c r="C318" s="8">
        <v>1100.0</v>
      </c>
      <c r="D318" s="5">
        <f t="shared" si="1"/>
        <v>2026</v>
      </c>
      <c r="E318" s="5" t="str">
        <f t="shared" si="2"/>
        <v>January</v>
      </c>
      <c r="F318" s="5">
        <f t="shared" si="3"/>
        <v>1</v>
      </c>
      <c r="G318" s="5" t="str">
        <f t="shared" si="4"/>
        <v>Q1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6">
        <v>46037.0</v>
      </c>
      <c r="B319" s="7" t="s">
        <v>8</v>
      </c>
      <c r="C319" s="8">
        <v>6080.0</v>
      </c>
      <c r="D319" s="5">
        <f t="shared" si="1"/>
        <v>2026</v>
      </c>
      <c r="E319" s="5" t="str">
        <f t="shared" si="2"/>
        <v>January</v>
      </c>
      <c r="F319" s="5">
        <f t="shared" si="3"/>
        <v>1</v>
      </c>
      <c r="G319" s="5" t="str">
        <f t="shared" si="4"/>
        <v>Q1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6">
        <v>46071.0</v>
      </c>
      <c r="B320" s="7" t="s">
        <v>7</v>
      </c>
      <c r="C320" s="8">
        <v>1000.0</v>
      </c>
      <c r="D320" s="5">
        <f t="shared" si="1"/>
        <v>2026</v>
      </c>
      <c r="E320" s="5" t="str">
        <f t="shared" si="2"/>
        <v>February</v>
      </c>
      <c r="F320" s="5">
        <f t="shared" si="3"/>
        <v>2</v>
      </c>
      <c r="G320" s="5" t="str">
        <f t="shared" si="4"/>
        <v>Q1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6">
        <v>46088.0</v>
      </c>
      <c r="B321" s="7" t="s">
        <v>13</v>
      </c>
      <c r="C321" s="8">
        <v>300.0</v>
      </c>
      <c r="D321" s="5">
        <f t="shared" si="1"/>
        <v>2026</v>
      </c>
      <c r="E321" s="5" t="str">
        <f t="shared" si="2"/>
        <v>March</v>
      </c>
      <c r="F321" s="5">
        <f t="shared" si="3"/>
        <v>3</v>
      </c>
      <c r="G321" s="5" t="str">
        <f t="shared" si="4"/>
        <v>Q1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6">
        <v>46088.0</v>
      </c>
      <c r="B322" s="7" t="s">
        <v>23</v>
      </c>
      <c r="C322" s="8">
        <v>6800.0</v>
      </c>
      <c r="D322" s="5">
        <f t="shared" si="1"/>
        <v>2026</v>
      </c>
      <c r="E322" s="5" t="str">
        <f t="shared" si="2"/>
        <v>March</v>
      </c>
      <c r="F322" s="5">
        <f t="shared" si="3"/>
        <v>3</v>
      </c>
      <c r="G322" s="5" t="str">
        <f t="shared" si="4"/>
        <v>Q1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6">
        <v>46091.0</v>
      </c>
      <c r="B323" s="7" t="s">
        <v>24</v>
      </c>
      <c r="C323" s="8">
        <v>115.0</v>
      </c>
      <c r="D323" s="5">
        <f t="shared" si="1"/>
        <v>2026</v>
      </c>
      <c r="E323" s="5" t="str">
        <f t="shared" si="2"/>
        <v>March</v>
      </c>
      <c r="F323" s="5">
        <f t="shared" si="3"/>
        <v>3</v>
      </c>
      <c r="G323" s="5" t="str">
        <f t="shared" si="4"/>
        <v>Q1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6">
        <v>46091.0</v>
      </c>
      <c r="B324" s="7" t="s">
        <v>21</v>
      </c>
      <c r="C324" s="8">
        <v>50.0</v>
      </c>
      <c r="D324" s="5">
        <f t="shared" si="1"/>
        <v>2026</v>
      </c>
      <c r="E324" s="5" t="str">
        <f t="shared" si="2"/>
        <v>March</v>
      </c>
      <c r="F324" s="5">
        <f t="shared" si="3"/>
        <v>3</v>
      </c>
      <c r="G324" s="5" t="str">
        <f t="shared" si="4"/>
        <v>Q1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6">
        <v>46091.0</v>
      </c>
      <c r="B325" s="7" t="s">
        <v>7</v>
      </c>
      <c r="C325" s="8">
        <v>635.0</v>
      </c>
      <c r="D325" s="5">
        <f t="shared" si="1"/>
        <v>2026</v>
      </c>
      <c r="E325" s="5" t="str">
        <f t="shared" si="2"/>
        <v>March</v>
      </c>
      <c r="F325" s="5">
        <f t="shared" si="3"/>
        <v>3</v>
      </c>
      <c r="G325" s="5" t="str">
        <f t="shared" si="4"/>
        <v>Q1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6">
        <v>46091.0</v>
      </c>
      <c r="B326" s="7" t="s">
        <v>7</v>
      </c>
      <c r="C326" s="8">
        <v>1000.0</v>
      </c>
      <c r="D326" s="5">
        <f t="shared" si="1"/>
        <v>2026</v>
      </c>
      <c r="E326" s="5" t="str">
        <f t="shared" si="2"/>
        <v>March</v>
      </c>
      <c r="F326" s="5">
        <f t="shared" si="3"/>
        <v>3</v>
      </c>
      <c r="G326" s="5" t="str">
        <f t="shared" si="4"/>
        <v>Q1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6">
        <v>46081.0</v>
      </c>
      <c r="B327" s="7" t="s">
        <v>8</v>
      </c>
      <c r="C327" s="8">
        <v>14000.0</v>
      </c>
      <c r="D327" s="5">
        <f t="shared" si="1"/>
        <v>2026</v>
      </c>
      <c r="E327" s="5" t="str">
        <f t="shared" si="2"/>
        <v>February</v>
      </c>
      <c r="F327" s="5">
        <f t="shared" si="3"/>
        <v>2</v>
      </c>
      <c r="G327" s="5" t="str">
        <f t="shared" si="4"/>
        <v>Q1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6">
        <v>46118.0</v>
      </c>
      <c r="B328" s="7" t="s">
        <v>7</v>
      </c>
      <c r="C328" s="8">
        <v>800.0</v>
      </c>
      <c r="D328" s="5">
        <f t="shared" si="1"/>
        <v>2026</v>
      </c>
      <c r="E328" s="5" t="str">
        <f t="shared" si="2"/>
        <v>April</v>
      </c>
      <c r="F328" s="5">
        <f t="shared" si="3"/>
        <v>4</v>
      </c>
      <c r="G328" s="5" t="str">
        <f t="shared" si="4"/>
        <v>Q2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6">
        <v>46126.0</v>
      </c>
      <c r="B329" s="7" t="s">
        <v>7</v>
      </c>
      <c r="C329" s="8">
        <v>800.0</v>
      </c>
      <c r="D329" s="5">
        <f t="shared" si="1"/>
        <v>2026</v>
      </c>
      <c r="E329" s="5" t="str">
        <f t="shared" si="2"/>
        <v>April</v>
      </c>
      <c r="F329" s="5">
        <f t="shared" si="3"/>
        <v>4</v>
      </c>
      <c r="G329" s="5" t="str">
        <f t="shared" si="4"/>
        <v>Q2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6">
        <v>46146.0</v>
      </c>
      <c r="B330" s="7" t="s">
        <v>23</v>
      </c>
      <c r="C330" s="8">
        <v>8600.0</v>
      </c>
      <c r="D330" s="5">
        <f t="shared" si="1"/>
        <v>2026</v>
      </c>
      <c r="E330" s="5" t="str">
        <f t="shared" si="2"/>
        <v>May</v>
      </c>
      <c r="F330" s="5">
        <f t="shared" si="3"/>
        <v>5</v>
      </c>
      <c r="G330" s="5" t="str">
        <f t="shared" si="4"/>
        <v>Q2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6">
        <v>46148.0</v>
      </c>
      <c r="B331" s="7" t="s">
        <v>23</v>
      </c>
      <c r="C331" s="8">
        <v>20990.0</v>
      </c>
      <c r="D331" s="5">
        <f t="shared" si="1"/>
        <v>2026</v>
      </c>
      <c r="E331" s="5" t="str">
        <f t="shared" si="2"/>
        <v>May</v>
      </c>
      <c r="F331" s="5">
        <f t="shared" si="3"/>
        <v>5</v>
      </c>
      <c r="G331" s="5" t="str">
        <f t="shared" si="4"/>
        <v>Q2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6">
        <v>46154.0</v>
      </c>
      <c r="B332" s="7" t="s">
        <v>7</v>
      </c>
      <c r="C332" s="8">
        <v>800.0</v>
      </c>
      <c r="D332" s="5">
        <f t="shared" si="1"/>
        <v>2026</v>
      </c>
      <c r="E332" s="5" t="str">
        <f t="shared" si="2"/>
        <v>May</v>
      </c>
      <c r="F332" s="5">
        <f t="shared" si="3"/>
        <v>5</v>
      </c>
      <c r="G332" s="5" t="str">
        <f t="shared" si="4"/>
        <v>Q2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6">
        <v>46162.0</v>
      </c>
      <c r="B333" s="7" t="s">
        <v>31</v>
      </c>
      <c r="C333" s="8">
        <v>150.0</v>
      </c>
      <c r="D333" s="5">
        <f t="shared" si="1"/>
        <v>2026</v>
      </c>
      <c r="E333" s="5" t="str">
        <f t="shared" si="2"/>
        <v>May</v>
      </c>
      <c r="F333" s="5">
        <f t="shared" si="3"/>
        <v>5</v>
      </c>
      <c r="G333" s="5" t="str">
        <f t="shared" si="4"/>
        <v>Q2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6">
        <v>46164.0</v>
      </c>
      <c r="B334" s="7" t="s">
        <v>7</v>
      </c>
      <c r="C334" s="8">
        <v>1050.0</v>
      </c>
      <c r="D334" s="5">
        <f t="shared" si="1"/>
        <v>2026</v>
      </c>
      <c r="E334" s="5" t="str">
        <f t="shared" si="2"/>
        <v>May</v>
      </c>
      <c r="F334" s="5">
        <f t="shared" si="3"/>
        <v>5</v>
      </c>
      <c r="G334" s="5" t="str">
        <f t="shared" si="4"/>
        <v>Q2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6">
        <v>46164.0</v>
      </c>
      <c r="B335" s="7" t="s">
        <v>7</v>
      </c>
      <c r="C335" s="8">
        <v>150.0</v>
      </c>
      <c r="D335" s="5">
        <f t="shared" si="1"/>
        <v>2026</v>
      </c>
      <c r="E335" s="5" t="str">
        <f t="shared" si="2"/>
        <v>May</v>
      </c>
      <c r="F335" s="5">
        <f t="shared" si="3"/>
        <v>5</v>
      </c>
      <c r="G335" s="5" t="str">
        <f t="shared" si="4"/>
        <v>Q2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6">
        <v>46168.0</v>
      </c>
      <c r="B336" s="7" t="s">
        <v>31</v>
      </c>
      <c r="C336" s="8">
        <v>706.0</v>
      </c>
      <c r="D336" s="5">
        <f t="shared" si="1"/>
        <v>2026</v>
      </c>
      <c r="E336" s="5" t="str">
        <f t="shared" si="2"/>
        <v>May</v>
      </c>
      <c r="F336" s="5">
        <f t="shared" si="3"/>
        <v>5</v>
      </c>
      <c r="G336" s="5" t="str">
        <f t="shared" si="4"/>
        <v>Q2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6">
        <v>46172.0</v>
      </c>
      <c r="B337" s="7" t="s">
        <v>7</v>
      </c>
      <c r="C337" s="8">
        <v>800.0</v>
      </c>
      <c r="D337" s="5">
        <f t="shared" si="1"/>
        <v>2026</v>
      </c>
      <c r="E337" s="5" t="str">
        <f t="shared" si="2"/>
        <v>May</v>
      </c>
      <c r="F337" s="5">
        <f t="shared" si="3"/>
        <v>5</v>
      </c>
      <c r="G337" s="5" t="str">
        <f t="shared" si="4"/>
        <v>Q2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6">
        <v>46174.0</v>
      </c>
      <c r="B338" s="7" t="s">
        <v>7</v>
      </c>
      <c r="C338" s="8">
        <v>800.0</v>
      </c>
      <c r="D338" s="5">
        <f t="shared" si="1"/>
        <v>2026</v>
      </c>
      <c r="E338" s="5" t="str">
        <f t="shared" si="2"/>
        <v>June</v>
      </c>
      <c r="F338" s="5">
        <f t="shared" si="3"/>
        <v>6</v>
      </c>
      <c r="G338" s="5" t="str">
        <f t="shared" si="4"/>
        <v>Q2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6">
        <v>46178.0</v>
      </c>
      <c r="B339" s="7" t="s">
        <v>9</v>
      </c>
      <c r="C339" s="8">
        <v>1249.0</v>
      </c>
      <c r="D339" s="5">
        <f t="shared" si="1"/>
        <v>2026</v>
      </c>
      <c r="E339" s="5" t="str">
        <f t="shared" si="2"/>
        <v>June</v>
      </c>
      <c r="F339" s="5">
        <f t="shared" si="3"/>
        <v>6</v>
      </c>
      <c r="G339" s="5" t="str">
        <f t="shared" si="4"/>
        <v>Q2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6">
        <v>46181.0</v>
      </c>
      <c r="B340" s="7" t="s">
        <v>13</v>
      </c>
      <c r="C340" s="8">
        <v>200.0</v>
      </c>
      <c r="D340" s="5">
        <f t="shared" si="1"/>
        <v>2026</v>
      </c>
      <c r="E340" s="5" t="str">
        <f t="shared" si="2"/>
        <v>June</v>
      </c>
      <c r="F340" s="5">
        <f t="shared" si="3"/>
        <v>6</v>
      </c>
      <c r="G340" s="5" t="str">
        <f t="shared" si="4"/>
        <v>Q2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6">
        <v>46185.0</v>
      </c>
      <c r="B341" s="7" t="s">
        <v>7</v>
      </c>
      <c r="C341" s="8">
        <v>800.0</v>
      </c>
      <c r="D341" s="5">
        <f t="shared" si="1"/>
        <v>2026</v>
      </c>
      <c r="E341" s="5" t="str">
        <f t="shared" si="2"/>
        <v>June</v>
      </c>
      <c r="F341" s="5">
        <f t="shared" si="3"/>
        <v>6</v>
      </c>
      <c r="G341" s="5" t="str">
        <f t="shared" si="4"/>
        <v>Q2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6">
        <v>46192.0</v>
      </c>
      <c r="B342" s="7" t="s">
        <v>7</v>
      </c>
      <c r="C342" s="8">
        <v>410.0</v>
      </c>
      <c r="D342" s="5">
        <f t="shared" si="1"/>
        <v>2026</v>
      </c>
      <c r="E342" s="5" t="str">
        <f t="shared" si="2"/>
        <v>June</v>
      </c>
      <c r="F342" s="5">
        <f t="shared" si="3"/>
        <v>6</v>
      </c>
      <c r="G342" s="5" t="str">
        <f t="shared" si="4"/>
        <v>Q2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6">
        <v>46191.0</v>
      </c>
      <c r="B343" s="7" t="s">
        <v>31</v>
      </c>
      <c r="C343" s="8">
        <v>89.0</v>
      </c>
      <c r="D343" s="5">
        <f t="shared" si="1"/>
        <v>2026</v>
      </c>
      <c r="E343" s="5" t="str">
        <f t="shared" si="2"/>
        <v>June</v>
      </c>
      <c r="F343" s="5">
        <f t="shared" si="3"/>
        <v>6</v>
      </c>
      <c r="G343" s="5" t="str">
        <f t="shared" si="4"/>
        <v>Q2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6">
        <v>46192.0</v>
      </c>
      <c r="B344" s="7" t="s">
        <v>23</v>
      </c>
      <c r="C344" s="8">
        <v>199.0</v>
      </c>
      <c r="D344" s="5">
        <f t="shared" si="1"/>
        <v>2026</v>
      </c>
      <c r="E344" s="5" t="str">
        <f t="shared" si="2"/>
        <v>June</v>
      </c>
      <c r="F344" s="5">
        <f t="shared" si="3"/>
        <v>6</v>
      </c>
      <c r="G344" s="5" t="str">
        <f t="shared" si="4"/>
        <v>Q2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6">
        <v>46192.0</v>
      </c>
      <c r="B345" s="7" t="s">
        <v>9</v>
      </c>
      <c r="C345" s="8">
        <v>225.0</v>
      </c>
      <c r="D345" s="5">
        <f t="shared" si="1"/>
        <v>2026</v>
      </c>
      <c r="E345" s="5" t="str">
        <f t="shared" si="2"/>
        <v>June</v>
      </c>
      <c r="F345" s="5">
        <f t="shared" si="3"/>
        <v>6</v>
      </c>
      <c r="G345" s="5" t="str">
        <f t="shared" si="4"/>
        <v>Q2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6">
        <v>46213.0</v>
      </c>
      <c r="B346" s="7" t="s">
        <v>23</v>
      </c>
      <c r="C346" s="8">
        <v>14705.0</v>
      </c>
      <c r="D346" s="5">
        <f t="shared" si="1"/>
        <v>2026</v>
      </c>
      <c r="E346" s="5" t="str">
        <f t="shared" si="2"/>
        <v>July</v>
      </c>
      <c r="F346" s="5">
        <f t="shared" si="3"/>
        <v>7</v>
      </c>
      <c r="G346" s="5" t="str">
        <f t="shared" si="4"/>
        <v>Q3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6">
        <v>46224.0</v>
      </c>
      <c r="B347" s="7" t="s">
        <v>7</v>
      </c>
      <c r="C347" s="8">
        <v>300.0</v>
      </c>
      <c r="D347" s="5">
        <f t="shared" si="1"/>
        <v>2026</v>
      </c>
      <c r="E347" s="5" t="str">
        <f t="shared" si="2"/>
        <v>July</v>
      </c>
      <c r="F347" s="5">
        <f t="shared" si="3"/>
        <v>7</v>
      </c>
      <c r="G347" s="5" t="str">
        <f t="shared" si="4"/>
        <v>Q3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6">
        <v>46231.0</v>
      </c>
      <c r="B348" s="7" t="s">
        <v>7</v>
      </c>
      <c r="C348" s="8">
        <v>546.0</v>
      </c>
      <c r="D348" s="5">
        <f t="shared" si="1"/>
        <v>2026</v>
      </c>
      <c r="E348" s="5" t="str">
        <f t="shared" si="2"/>
        <v>July</v>
      </c>
      <c r="F348" s="5">
        <f t="shared" si="3"/>
        <v>7</v>
      </c>
      <c r="G348" s="5" t="str">
        <f t="shared" si="4"/>
        <v>Q3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6">
        <v>46238.0</v>
      </c>
      <c r="B349" s="7" t="s">
        <v>7</v>
      </c>
      <c r="C349" s="8">
        <v>312.0</v>
      </c>
      <c r="D349" s="5">
        <f t="shared" si="1"/>
        <v>2026</v>
      </c>
      <c r="E349" s="5" t="str">
        <f t="shared" si="2"/>
        <v>August</v>
      </c>
      <c r="F349" s="5">
        <f t="shared" si="3"/>
        <v>8</v>
      </c>
      <c r="G349" s="5" t="str">
        <f t="shared" si="4"/>
        <v>Q3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6">
        <v>46241.0</v>
      </c>
      <c r="B350" s="7" t="s">
        <v>23</v>
      </c>
      <c r="C350" s="8">
        <v>3750.0</v>
      </c>
      <c r="D350" s="5">
        <f t="shared" si="1"/>
        <v>2026</v>
      </c>
      <c r="E350" s="5" t="str">
        <f t="shared" si="2"/>
        <v>August</v>
      </c>
      <c r="F350" s="5">
        <f t="shared" si="3"/>
        <v>8</v>
      </c>
      <c r="G350" s="5" t="str">
        <f t="shared" si="4"/>
        <v>Q3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6">
        <v>46245.0</v>
      </c>
      <c r="B351" s="7" t="s">
        <v>9</v>
      </c>
      <c r="C351" s="8">
        <v>791.0</v>
      </c>
      <c r="D351" s="5">
        <f t="shared" si="1"/>
        <v>2026</v>
      </c>
      <c r="E351" s="5" t="str">
        <f t="shared" si="2"/>
        <v>August</v>
      </c>
      <c r="F351" s="5">
        <f t="shared" si="3"/>
        <v>8</v>
      </c>
      <c r="G351" s="5" t="str">
        <f t="shared" si="4"/>
        <v>Q3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9"/>
      <c r="B352" s="10"/>
      <c r="C352" s="11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9"/>
      <c r="B353" s="10"/>
      <c r="C353" s="11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9"/>
      <c r="B354" s="10"/>
      <c r="C354" s="11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9"/>
      <c r="B355" s="10"/>
      <c r="C355" s="11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9"/>
      <c r="B356" s="10"/>
      <c r="C356" s="11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9"/>
      <c r="B357" s="10"/>
      <c r="C357" s="11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9"/>
      <c r="B358" s="10"/>
      <c r="C358" s="11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9"/>
      <c r="B359" s="10"/>
      <c r="C359" s="11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9"/>
      <c r="B360" s="10"/>
      <c r="C360" s="11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9"/>
      <c r="B361" s="10"/>
      <c r="C361" s="11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9"/>
      <c r="B362" s="10"/>
      <c r="C362" s="11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9"/>
      <c r="B363" s="10"/>
      <c r="C363" s="11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9"/>
      <c r="B364" s="10"/>
      <c r="C364" s="11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9"/>
      <c r="B365" s="10"/>
      <c r="C365" s="11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9"/>
      <c r="B366" s="10"/>
      <c r="C366" s="11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9"/>
      <c r="B367" s="10"/>
      <c r="C367" s="11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9"/>
      <c r="B368" s="10"/>
      <c r="C368" s="11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9"/>
      <c r="B369" s="10"/>
      <c r="C369" s="11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9"/>
      <c r="B370" s="10"/>
      <c r="C370" s="11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9"/>
      <c r="B371" s="10"/>
      <c r="C371" s="11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9"/>
      <c r="B372" s="10"/>
      <c r="C372" s="11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9"/>
      <c r="B373" s="10"/>
      <c r="C373" s="11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9"/>
      <c r="B374" s="10"/>
      <c r="C374" s="11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9"/>
      <c r="B375" s="10"/>
      <c r="C375" s="11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9"/>
      <c r="B376" s="10"/>
      <c r="C376" s="11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9"/>
      <c r="B377" s="10"/>
      <c r="C377" s="11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9"/>
      <c r="B378" s="10"/>
      <c r="C378" s="11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9"/>
      <c r="B379" s="10"/>
      <c r="C379" s="11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9"/>
      <c r="B380" s="10"/>
      <c r="C380" s="11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9"/>
      <c r="B381" s="10"/>
      <c r="C381" s="11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9"/>
      <c r="B382" s="10"/>
      <c r="C382" s="11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9"/>
      <c r="B383" s="10"/>
      <c r="C383" s="11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9"/>
      <c r="B384" s="10"/>
      <c r="C384" s="11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9"/>
      <c r="B385" s="10"/>
      <c r="C385" s="11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9"/>
      <c r="B386" s="10"/>
      <c r="C386" s="11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9"/>
      <c r="B387" s="10"/>
      <c r="C387" s="11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9"/>
      <c r="B388" s="10"/>
      <c r="C388" s="11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9"/>
      <c r="B389" s="10"/>
      <c r="C389" s="11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9"/>
      <c r="B390" s="10"/>
      <c r="C390" s="11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9"/>
      <c r="B391" s="10"/>
      <c r="C391" s="11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9"/>
      <c r="B392" s="10"/>
      <c r="C392" s="11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9"/>
      <c r="B393" s="10"/>
      <c r="C393" s="11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9"/>
      <c r="B394" s="10"/>
      <c r="C394" s="11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9"/>
      <c r="B395" s="10"/>
      <c r="C395" s="11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9"/>
      <c r="B396" s="10"/>
      <c r="C396" s="11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9"/>
      <c r="B397" s="10"/>
      <c r="C397" s="11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9"/>
      <c r="B398" s="10"/>
      <c r="C398" s="11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9"/>
      <c r="B399" s="10"/>
      <c r="C399" s="11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9"/>
      <c r="B400" s="10"/>
      <c r="C400" s="11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9"/>
      <c r="B401" s="10"/>
      <c r="C401" s="11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9"/>
      <c r="B402" s="10"/>
      <c r="C402" s="11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9"/>
      <c r="B403" s="10"/>
      <c r="C403" s="11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9"/>
      <c r="B404" s="10"/>
      <c r="C404" s="11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9"/>
      <c r="B405" s="10"/>
      <c r="C405" s="11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9"/>
      <c r="B406" s="10"/>
      <c r="C406" s="11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9"/>
      <c r="B407" s="10"/>
      <c r="C407" s="11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9"/>
      <c r="B408" s="10"/>
      <c r="C408" s="11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9"/>
      <c r="B409" s="10"/>
      <c r="C409" s="11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9"/>
      <c r="B410" s="10"/>
      <c r="C410" s="11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9"/>
      <c r="B411" s="10"/>
      <c r="C411" s="11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9"/>
      <c r="B412" s="10"/>
      <c r="C412" s="11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9"/>
      <c r="B413" s="10"/>
      <c r="C413" s="11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9"/>
      <c r="B414" s="10"/>
      <c r="C414" s="11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9"/>
      <c r="B415" s="10"/>
      <c r="C415" s="11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9"/>
      <c r="B416" s="10"/>
      <c r="C416" s="11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9"/>
      <c r="B417" s="10"/>
      <c r="C417" s="11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9"/>
      <c r="B418" s="10"/>
      <c r="C418" s="11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9"/>
      <c r="B419" s="10"/>
      <c r="C419" s="11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9"/>
      <c r="B420" s="10"/>
      <c r="C420" s="11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9"/>
      <c r="B421" s="10"/>
      <c r="C421" s="11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9"/>
      <c r="B422" s="10"/>
      <c r="C422" s="11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9"/>
      <c r="B423" s="10"/>
      <c r="C423" s="11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9"/>
      <c r="B424" s="10"/>
      <c r="C424" s="11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9"/>
      <c r="B425" s="10"/>
      <c r="C425" s="11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9"/>
      <c r="B426" s="10"/>
      <c r="C426" s="11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9"/>
      <c r="B427" s="10"/>
      <c r="C427" s="11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9"/>
      <c r="B428" s="10"/>
      <c r="C428" s="11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9"/>
      <c r="B429" s="10"/>
      <c r="C429" s="11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9"/>
      <c r="B430" s="10"/>
      <c r="C430" s="11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9"/>
      <c r="B431" s="10"/>
      <c r="C431" s="11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9"/>
      <c r="B432" s="10"/>
      <c r="C432" s="11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9"/>
      <c r="B433" s="10"/>
      <c r="C433" s="11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9"/>
      <c r="B434" s="10"/>
      <c r="C434" s="11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9"/>
      <c r="B435" s="10"/>
      <c r="C435" s="11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9"/>
      <c r="B436" s="10"/>
      <c r="C436" s="11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9"/>
      <c r="B437" s="10"/>
      <c r="C437" s="11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9"/>
      <c r="B438" s="10"/>
      <c r="C438" s="11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9"/>
      <c r="B439" s="10"/>
      <c r="C439" s="11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9"/>
      <c r="B440" s="10"/>
      <c r="C440" s="11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9"/>
      <c r="B441" s="10"/>
      <c r="C441" s="11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9"/>
      <c r="B442" s="10"/>
      <c r="C442" s="11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9"/>
      <c r="B443" s="10"/>
      <c r="C443" s="11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9"/>
      <c r="B444" s="10"/>
      <c r="C444" s="11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9"/>
      <c r="B445" s="10"/>
      <c r="C445" s="11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9"/>
      <c r="B446" s="10"/>
      <c r="C446" s="11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9"/>
      <c r="B447" s="10"/>
      <c r="C447" s="11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9"/>
      <c r="B448" s="10"/>
      <c r="C448" s="11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9"/>
      <c r="B449" s="10"/>
      <c r="C449" s="11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9"/>
      <c r="B450" s="10"/>
      <c r="C450" s="11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9"/>
      <c r="B451" s="10"/>
      <c r="C451" s="11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9"/>
      <c r="B452" s="10"/>
      <c r="C452" s="11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9"/>
      <c r="B453" s="10"/>
      <c r="C453" s="11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9"/>
      <c r="B454" s="10"/>
      <c r="C454" s="11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9"/>
      <c r="B455" s="10"/>
      <c r="C455" s="11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9"/>
      <c r="B456" s="10"/>
      <c r="C456" s="11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9"/>
      <c r="B457" s="10"/>
      <c r="C457" s="11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9"/>
      <c r="B458" s="10"/>
      <c r="C458" s="11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9"/>
      <c r="B459" s="10"/>
      <c r="C459" s="11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9"/>
      <c r="B460" s="10"/>
      <c r="C460" s="11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9"/>
      <c r="B461" s="10"/>
      <c r="C461" s="11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9"/>
      <c r="B462" s="10"/>
      <c r="C462" s="11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9"/>
      <c r="B463" s="10"/>
      <c r="C463" s="11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9"/>
      <c r="B464" s="10"/>
      <c r="C464" s="11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9"/>
      <c r="B465" s="10"/>
      <c r="C465" s="11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9"/>
      <c r="B466" s="10"/>
      <c r="C466" s="11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9"/>
      <c r="B467" s="10"/>
      <c r="C467" s="11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9"/>
      <c r="B468" s="10"/>
      <c r="C468" s="11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9"/>
      <c r="B469" s="10"/>
      <c r="C469" s="11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9"/>
      <c r="B470" s="10"/>
      <c r="C470" s="11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9"/>
      <c r="B471" s="10"/>
      <c r="C471" s="11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9"/>
      <c r="B472" s="10"/>
      <c r="C472" s="11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9"/>
      <c r="B473" s="10"/>
      <c r="C473" s="11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9"/>
      <c r="B474" s="10"/>
      <c r="C474" s="11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9"/>
      <c r="B475" s="10"/>
      <c r="C475" s="11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9"/>
      <c r="B476" s="10"/>
      <c r="C476" s="11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9"/>
      <c r="B477" s="10"/>
      <c r="C477" s="11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9"/>
      <c r="B478" s="10"/>
      <c r="C478" s="11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9"/>
      <c r="B479" s="10"/>
      <c r="C479" s="11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9"/>
      <c r="B480" s="10"/>
      <c r="C480" s="11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9"/>
      <c r="B481" s="10"/>
      <c r="C481" s="11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9"/>
      <c r="B482" s="10"/>
      <c r="C482" s="11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9"/>
      <c r="B483" s="10"/>
      <c r="C483" s="11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9"/>
      <c r="B484" s="10"/>
      <c r="C484" s="11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9"/>
      <c r="B485" s="10"/>
      <c r="C485" s="11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9"/>
      <c r="B486" s="10"/>
      <c r="C486" s="11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9"/>
      <c r="B487" s="10"/>
      <c r="C487" s="11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9"/>
      <c r="B488" s="10"/>
      <c r="C488" s="11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9"/>
      <c r="B489" s="10"/>
      <c r="C489" s="11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9"/>
      <c r="B490" s="10"/>
      <c r="C490" s="11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9"/>
      <c r="B491" s="10"/>
      <c r="C491" s="11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9"/>
      <c r="B492" s="10"/>
      <c r="C492" s="11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9"/>
      <c r="B493" s="10"/>
      <c r="C493" s="11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9"/>
      <c r="B494" s="10"/>
      <c r="C494" s="11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9"/>
      <c r="B495" s="10"/>
      <c r="C495" s="11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9"/>
      <c r="B496" s="10"/>
      <c r="C496" s="11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9"/>
      <c r="B497" s="10"/>
      <c r="C497" s="11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9"/>
      <c r="B498" s="10"/>
      <c r="C498" s="11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9"/>
      <c r="B499" s="10"/>
      <c r="C499" s="11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9"/>
      <c r="B500" s="10"/>
      <c r="C500" s="11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9"/>
      <c r="B501" s="10"/>
      <c r="C501" s="11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9"/>
      <c r="B502" s="10"/>
      <c r="C502" s="11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9"/>
      <c r="B503" s="10"/>
      <c r="C503" s="11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9"/>
      <c r="B504" s="10"/>
      <c r="C504" s="11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9"/>
      <c r="B505" s="10"/>
      <c r="C505" s="11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9"/>
      <c r="B506" s="10"/>
      <c r="C506" s="11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9"/>
      <c r="B507" s="10"/>
      <c r="C507" s="11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9"/>
      <c r="B508" s="10"/>
      <c r="C508" s="11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9"/>
      <c r="B509" s="10"/>
      <c r="C509" s="11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9"/>
      <c r="B510" s="10"/>
      <c r="C510" s="11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9"/>
      <c r="B511" s="10"/>
      <c r="C511" s="11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9"/>
      <c r="B512" s="10"/>
      <c r="C512" s="11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9"/>
      <c r="B513" s="10"/>
      <c r="C513" s="11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9"/>
      <c r="B514" s="10"/>
      <c r="C514" s="11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9"/>
      <c r="B515" s="10"/>
      <c r="C515" s="11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9"/>
      <c r="B516" s="10"/>
      <c r="C516" s="11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9"/>
      <c r="B517" s="10"/>
      <c r="C517" s="11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9"/>
      <c r="B518" s="10"/>
      <c r="C518" s="11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9"/>
      <c r="B519" s="10"/>
      <c r="C519" s="11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9"/>
      <c r="B520" s="10"/>
      <c r="C520" s="11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9"/>
      <c r="B521" s="10"/>
      <c r="C521" s="11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9"/>
      <c r="B522" s="10"/>
      <c r="C522" s="11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9"/>
      <c r="B523" s="10"/>
      <c r="C523" s="11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9"/>
      <c r="B524" s="10"/>
      <c r="C524" s="11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9"/>
      <c r="B525" s="10"/>
      <c r="C525" s="11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9"/>
      <c r="B526" s="10"/>
      <c r="C526" s="11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9"/>
      <c r="B527" s="10"/>
      <c r="C527" s="11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9"/>
      <c r="B528" s="10"/>
      <c r="C528" s="11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9"/>
      <c r="B529" s="10"/>
      <c r="C529" s="11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9"/>
      <c r="B530" s="10"/>
      <c r="C530" s="11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9"/>
      <c r="B531" s="10"/>
      <c r="C531" s="11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9"/>
      <c r="B532" s="10"/>
      <c r="C532" s="11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9"/>
      <c r="B533" s="10"/>
      <c r="C533" s="11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9"/>
      <c r="B534" s="10"/>
      <c r="C534" s="11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9"/>
      <c r="B535" s="10"/>
      <c r="C535" s="11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9"/>
      <c r="B536" s="10"/>
      <c r="C536" s="11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9"/>
      <c r="B537" s="10"/>
      <c r="C537" s="11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9"/>
      <c r="B538" s="10"/>
      <c r="C538" s="11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9"/>
      <c r="B539" s="10"/>
      <c r="C539" s="11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9"/>
      <c r="B540" s="10"/>
      <c r="C540" s="11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9"/>
      <c r="B541" s="10"/>
      <c r="C541" s="11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9"/>
      <c r="B542" s="10"/>
      <c r="C542" s="11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9"/>
      <c r="B543" s="10"/>
      <c r="C543" s="11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9"/>
      <c r="B544" s="10"/>
      <c r="C544" s="11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9"/>
      <c r="B545" s="10"/>
      <c r="C545" s="11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9"/>
      <c r="B546" s="10"/>
      <c r="C546" s="11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9"/>
      <c r="B547" s="10"/>
      <c r="C547" s="11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9"/>
      <c r="B548" s="10"/>
      <c r="C548" s="11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9"/>
      <c r="B549" s="10"/>
      <c r="C549" s="11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9"/>
      <c r="B550" s="10"/>
      <c r="C550" s="11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9"/>
      <c r="B551" s="10"/>
      <c r="C551" s="11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9"/>
      <c r="B552" s="10"/>
      <c r="C552" s="11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9"/>
      <c r="B553" s="10"/>
      <c r="C553" s="11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9"/>
      <c r="B554" s="10"/>
      <c r="C554" s="11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9"/>
      <c r="B555" s="10"/>
      <c r="C555" s="11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9"/>
      <c r="B556" s="10"/>
      <c r="C556" s="11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9"/>
      <c r="B557" s="10"/>
      <c r="C557" s="11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9"/>
      <c r="B558" s="10"/>
      <c r="C558" s="11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9"/>
      <c r="B559" s="10"/>
      <c r="C559" s="11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9"/>
      <c r="B560" s="10"/>
      <c r="C560" s="11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9"/>
      <c r="B561" s="10"/>
      <c r="C561" s="11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9"/>
      <c r="B562" s="10"/>
      <c r="C562" s="11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9"/>
      <c r="B563" s="10"/>
      <c r="C563" s="11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9"/>
      <c r="B564" s="10"/>
      <c r="C564" s="11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9"/>
      <c r="B565" s="10"/>
      <c r="C565" s="11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9"/>
      <c r="B566" s="10"/>
      <c r="C566" s="11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9"/>
      <c r="B567" s="10"/>
      <c r="C567" s="11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9"/>
      <c r="B568" s="10"/>
      <c r="C568" s="11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9"/>
      <c r="B569" s="10"/>
      <c r="C569" s="11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9"/>
      <c r="B570" s="10"/>
      <c r="C570" s="11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9"/>
      <c r="B571" s="10"/>
      <c r="C571" s="11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9"/>
      <c r="B572" s="10"/>
      <c r="C572" s="11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9"/>
      <c r="B573" s="10"/>
      <c r="C573" s="11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9"/>
      <c r="B574" s="10"/>
      <c r="C574" s="11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9"/>
      <c r="B575" s="10"/>
      <c r="C575" s="11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9"/>
      <c r="B576" s="10"/>
      <c r="C576" s="11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9"/>
      <c r="B577" s="10"/>
      <c r="C577" s="11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9"/>
      <c r="B578" s="10"/>
      <c r="C578" s="11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9"/>
      <c r="B579" s="10"/>
      <c r="C579" s="11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9"/>
      <c r="B580" s="10"/>
      <c r="C580" s="11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9"/>
      <c r="B581" s="10"/>
      <c r="C581" s="11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9"/>
      <c r="B582" s="10"/>
      <c r="C582" s="11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9"/>
      <c r="B583" s="10"/>
      <c r="C583" s="11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9"/>
      <c r="B584" s="10"/>
      <c r="C584" s="11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9"/>
      <c r="B585" s="10"/>
      <c r="C585" s="11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9"/>
      <c r="B586" s="10"/>
      <c r="C586" s="11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9"/>
      <c r="B587" s="10"/>
      <c r="C587" s="11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9"/>
      <c r="B588" s="10"/>
      <c r="C588" s="11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9"/>
      <c r="B589" s="10"/>
      <c r="C589" s="11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9"/>
      <c r="B590" s="10"/>
      <c r="C590" s="11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9"/>
      <c r="B591" s="10"/>
      <c r="C591" s="11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9"/>
      <c r="B592" s="10"/>
      <c r="C592" s="11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9"/>
      <c r="B593" s="10"/>
      <c r="C593" s="11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9"/>
      <c r="B594" s="10"/>
      <c r="C594" s="11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9"/>
      <c r="B595" s="10"/>
      <c r="C595" s="11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9"/>
      <c r="B596" s="10"/>
      <c r="C596" s="11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9"/>
      <c r="B597" s="10"/>
      <c r="C597" s="11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9"/>
      <c r="B598" s="10"/>
      <c r="C598" s="11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9"/>
      <c r="B599" s="10"/>
      <c r="C599" s="11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9"/>
      <c r="B600" s="10"/>
      <c r="C600" s="11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9"/>
      <c r="B601" s="10"/>
      <c r="C601" s="11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9"/>
      <c r="B602" s="10"/>
      <c r="C602" s="11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9"/>
      <c r="B603" s="10"/>
      <c r="C603" s="11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9"/>
      <c r="B604" s="10"/>
      <c r="C604" s="11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9"/>
      <c r="B605" s="10"/>
      <c r="C605" s="11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9"/>
      <c r="B606" s="10"/>
      <c r="C606" s="11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9"/>
      <c r="B607" s="10"/>
      <c r="C607" s="11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9"/>
      <c r="B608" s="10"/>
      <c r="C608" s="11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9"/>
      <c r="B609" s="10"/>
      <c r="C609" s="11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9"/>
      <c r="B610" s="10"/>
      <c r="C610" s="11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9"/>
      <c r="B611" s="10"/>
      <c r="C611" s="11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9"/>
      <c r="B612" s="10"/>
      <c r="C612" s="11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9"/>
      <c r="B613" s="10"/>
      <c r="C613" s="11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9"/>
      <c r="B614" s="10"/>
      <c r="C614" s="11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9"/>
      <c r="B615" s="10"/>
      <c r="C615" s="11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9"/>
      <c r="B616" s="10"/>
      <c r="C616" s="11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9"/>
      <c r="B617" s="10"/>
      <c r="C617" s="11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9"/>
      <c r="B618" s="10"/>
      <c r="C618" s="11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9"/>
      <c r="B619" s="10"/>
      <c r="C619" s="11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9"/>
      <c r="B620" s="10"/>
      <c r="C620" s="11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9"/>
      <c r="B621" s="10"/>
      <c r="C621" s="11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9"/>
      <c r="B622" s="10"/>
      <c r="C622" s="11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9"/>
      <c r="B623" s="10"/>
      <c r="C623" s="11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9"/>
      <c r="B624" s="10"/>
      <c r="C624" s="11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9"/>
      <c r="B625" s="10"/>
      <c r="C625" s="11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9"/>
      <c r="B626" s="10"/>
      <c r="C626" s="11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9"/>
      <c r="B627" s="10"/>
      <c r="C627" s="11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9"/>
      <c r="B628" s="10"/>
      <c r="C628" s="11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9"/>
      <c r="B629" s="10"/>
      <c r="C629" s="11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9"/>
      <c r="B630" s="10"/>
      <c r="C630" s="11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9"/>
      <c r="B631" s="10"/>
      <c r="C631" s="11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9"/>
      <c r="B632" s="10"/>
      <c r="C632" s="11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9"/>
      <c r="B633" s="10"/>
      <c r="C633" s="11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9"/>
      <c r="B634" s="10"/>
      <c r="C634" s="11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9"/>
      <c r="B635" s="10"/>
      <c r="C635" s="11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9"/>
      <c r="B636" s="10"/>
      <c r="C636" s="11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9"/>
      <c r="B637" s="10"/>
      <c r="C637" s="11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9"/>
      <c r="B638" s="10"/>
      <c r="C638" s="11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9"/>
      <c r="B639" s="10"/>
      <c r="C639" s="11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9"/>
      <c r="B640" s="10"/>
      <c r="C640" s="11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9"/>
      <c r="B641" s="10"/>
      <c r="C641" s="11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9"/>
      <c r="B642" s="10"/>
      <c r="C642" s="11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9"/>
      <c r="B643" s="10"/>
      <c r="C643" s="11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9"/>
      <c r="B644" s="10"/>
      <c r="C644" s="11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9"/>
      <c r="B645" s="10"/>
      <c r="C645" s="11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9"/>
      <c r="B646" s="10"/>
      <c r="C646" s="11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9"/>
      <c r="B647" s="10"/>
      <c r="C647" s="11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9"/>
      <c r="B648" s="10"/>
      <c r="C648" s="11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9"/>
      <c r="B649" s="10"/>
      <c r="C649" s="11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9"/>
      <c r="B650" s="10"/>
      <c r="C650" s="11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9"/>
      <c r="B651" s="10"/>
      <c r="C651" s="11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9"/>
      <c r="B652" s="10"/>
      <c r="C652" s="11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9"/>
      <c r="B653" s="10"/>
      <c r="C653" s="11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9"/>
      <c r="B654" s="10"/>
      <c r="C654" s="11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9"/>
      <c r="B655" s="10"/>
      <c r="C655" s="11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9"/>
      <c r="B656" s="10"/>
      <c r="C656" s="11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9"/>
      <c r="B657" s="10"/>
      <c r="C657" s="11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9"/>
      <c r="B658" s="10"/>
      <c r="C658" s="11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9"/>
      <c r="B659" s="10"/>
      <c r="C659" s="11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9"/>
      <c r="B660" s="10"/>
      <c r="C660" s="11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9"/>
      <c r="B661" s="10"/>
      <c r="C661" s="11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9"/>
      <c r="B662" s="10"/>
      <c r="C662" s="11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9"/>
      <c r="B663" s="10"/>
      <c r="C663" s="11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9"/>
      <c r="B664" s="10"/>
      <c r="C664" s="11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9"/>
      <c r="B665" s="10"/>
      <c r="C665" s="11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9"/>
      <c r="B666" s="10"/>
      <c r="C666" s="11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9"/>
      <c r="B667" s="10"/>
      <c r="C667" s="11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9"/>
      <c r="B668" s="10"/>
      <c r="C668" s="11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9"/>
      <c r="B669" s="10"/>
      <c r="C669" s="11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9"/>
      <c r="B670" s="10"/>
      <c r="C670" s="11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9"/>
      <c r="B671" s="10"/>
      <c r="C671" s="11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9"/>
      <c r="B672" s="10"/>
      <c r="C672" s="11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9"/>
      <c r="B673" s="10"/>
      <c r="C673" s="11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9"/>
      <c r="B674" s="10"/>
      <c r="C674" s="11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9"/>
      <c r="B675" s="10"/>
      <c r="C675" s="11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9"/>
      <c r="B676" s="10"/>
      <c r="C676" s="11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9"/>
      <c r="B677" s="10"/>
      <c r="C677" s="11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9"/>
      <c r="B678" s="10"/>
      <c r="C678" s="11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9"/>
      <c r="B679" s="10"/>
      <c r="C679" s="11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9"/>
      <c r="B680" s="10"/>
      <c r="C680" s="11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9"/>
      <c r="B681" s="10"/>
      <c r="C681" s="11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9"/>
      <c r="B682" s="10"/>
      <c r="C682" s="11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9"/>
      <c r="B683" s="10"/>
      <c r="C683" s="11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9"/>
      <c r="B684" s="10"/>
      <c r="C684" s="11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9"/>
      <c r="B685" s="10"/>
      <c r="C685" s="11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9"/>
      <c r="B686" s="10"/>
      <c r="C686" s="11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9"/>
      <c r="B687" s="10"/>
      <c r="C687" s="11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9"/>
      <c r="B688" s="10"/>
      <c r="C688" s="11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9"/>
      <c r="B689" s="10"/>
      <c r="C689" s="11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9"/>
      <c r="B690" s="10"/>
      <c r="C690" s="11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9"/>
      <c r="B691" s="10"/>
      <c r="C691" s="11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9"/>
      <c r="B692" s="10"/>
      <c r="C692" s="11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9"/>
      <c r="B693" s="10"/>
      <c r="C693" s="11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9"/>
      <c r="B694" s="10"/>
      <c r="C694" s="11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9"/>
      <c r="B695" s="10"/>
      <c r="C695" s="11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9"/>
      <c r="B696" s="10"/>
      <c r="C696" s="11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9"/>
      <c r="B697" s="10"/>
      <c r="C697" s="11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9"/>
      <c r="B698" s="10"/>
      <c r="C698" s="11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9"/>
      <c r="B699" s="10"/>
      <c r="C699" s="11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9"/>
      <c r="B700" s="10"/>
      <c r="C700" s="11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9"/>
      <c r="B701" s="10"/>
      <c r="C701" s="11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9"/>
      <c r="B702" s="10"/>
      <c r="C702" s="11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9"/>
      <c r="B703" s="10"/>
      <c r="C703" s="11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9"/>
      <c r="B704" s="10"/>
      <c r="C704" s="11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9"/>
      <c r="B705" s="10"/>
      <c r="C705" s="11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9"/>
      <c r="B706" s="10"/>
      <c r="C706" s="11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9"/>
      <c r="B707" s="10"/>
      <c r="C707" s="11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9"/>
      <c r="B708" s="10"/>
      <c r="C708" s="11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9"/>
      <c r="B709" s="10"/>
      <c r="C709" s="11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9"/>
      <c r="B710" s="10"/>
      <c r="C710" s="11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9"/>
      <c r="B711" s="10"/>
      <c r="C711" s="11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9"/>
      <c r="B712" s="10"/>
      <c r="C712" s="11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9"/>
      <c r="B713" s="10"/>
      <c r="C713" s="11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9"/>
      <c r="B714" s="10"/>
      <c r="C714" s="11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9"/>
      <c r="B715" s="10"/>
      <c r="C715" s="11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9"/>
      <c r="B716" s="10"/>
      <c r="C716" s="11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9"/>
      <c r="B717" s="10"/>
      <c r="C717" s="11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9"/>
      <c r="B718" s="10"/>
      <c r="C718" s="11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9"/>
      <c r="B719" s="10"/>
      <c r="C719" s="11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9"/>
      <c r="B720" s="10"/>
      <c r="C720" s="11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9"/>
      <c r="B721" s="10"/>
      <c r="C721" s="11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9"/>
      <c r="B722" s="10"/>
      <c r="C722" s="11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9"/>
      <c r="B723" s="10"/>
      <c r="C723" s="11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9"/>
      <c r="B724" s="10"/>
      <c r="C724" s="11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9"/>
      <c r="B725" s="10"/>
      <c r="C725" s="11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9"/>
      <c r="B726" s="10"/>
      <c r="C726" s="11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9"/>
      <c r="B727" s="10"/>
      <c r="C727" s="11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9"/>
      <c r="B728" s="10"/>
      <c r="C728" s="11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9"/>
      <c r="B729" s="10"/>
      <c r="C729" s="11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9"/>
      <c r="B730" s="10"/>
      <c r="C730" s="11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9"/>
      <c r="B731" s="10"/>
      <c r="C731" s="11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9"/>
      <c r="B732" s="10"/>
      <c r="C732" s="11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9"/>
      <c r="B733" s="10"/>
      <c r="C733" s="11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9"/>
      <c r="B734" s="10"/>
      <c r="C734" s="11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9"/>
      <c r="B735" s="10"/>
      <c r="C735" s="11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9"/>
      <c r="B736" s="10"/>
      <c r="C736" s="11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9"/>
      <c r="B737" s="10"/>
      <c r="C737" s="11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9"/>
      <c r="B738" s="10"/>
      <c r="C738" s="11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9"/>
      <c r="B739" s="10"/>
      <c r="C739" s="11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9"/>
      <c r="B740" s="10"/>
      <c r="C740" s="11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9"/>
      <c r="B741" s="10"/>
      <c r="C741" s="11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9"/>
      <c r="B742" s="10"/>
      <c r="C742" s="11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9"/>
      <c r="B743" s="10"/>
      <c r="C743" s="11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9"/>
      <c r="B744" s="10"/>
      <c r="C744" s="11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9"/>
      <c r="B745" s="10"/>
      <c r="C745" s="11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9"/>
      <c r="B746" s="10"/>
      <c r="C746" s="11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9"/>
      <c r="B747" s="10"/>
      <c r="C747" s="11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9"/>
      <c r="B748" s="10"/>
      <c r="C748" s="11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9"/>
      <c r="B749" s="10"/>
      <c r="C749" s="11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9"/>
      <c r="B750" s="10"/>
      <c r="C750" s="11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9"/>
      <c r="B751" s="10"/>
      <c r="C751" s="11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9"/>
      <c r="B752" s="10"/>
      <c r="C752" s="11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9"/>
      <c r="B753" s="10"/>
      <c r="C753" s="11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9"/>
      <c r="B754" s="10"/>
      <c r="C754" s="11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9"/>
      <c r="B755" s="10"/>
      <c r="C755" s="11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9"/>
      <c r="B756" s="10"/>
      <c r="C756" s="11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9"/>
      <c r="B757" s="10"/>
      <c r="C757" s="11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9"/>
      <c r="B758" s="10"/>
      <c r="C758" s="11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9"/>
      <c r="B759" s="10"/>
      <c r="C759" s="11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9"/>
      <c r="B760" s="10"/>
      <c r="C760" s="11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9"/>
      <c r="B761" s="10"/>
      <c r="C761" s="11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9"/>
      <c r="B762" s="10"/>
      <c r="C762" s="11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9"/>
      <c r="B763" s="10"/>
      <c r="C763" s="11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9"/>
      <c r="B764" s="10"/>
      <c r="C764" s="11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9"/>
      <c r="B765" s="10"/>
      <c r="C765" s="11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9"/>
      <c r="B766" s="10"/>
      <c r="C766" s="11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9"/>
      <c r="B767" s="10"/>
      <c r="C767" s="11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9"/>
      <c r="B768" s="10"/>
      <c r="C768" s="11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9"/>
      <c r="B769" s="10"/>
      <c r="C769" s="11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9"/>
      <c r="B770" s="10"/>
      <c r="C770" s="11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9"/>
      <c r="B771" s="10"/>
      <c r="C771" s="11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9"/>
      <c r="B772" s="10"/>
      <c r="C772" s="11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9"/>
      <c r="B773" s="10"/>
      <c r="C773" s="11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9"/>
      <c r="B774" s="10"/>
      <c r="C774" s="11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9"/>
      <c r="B775" s="10"/>
      <c r="C775" s="11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9"/>
      <c r="B776" s="10"/>
      <c r="C776" s="11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9"/>
      <c r="B777" s="10"/>
      <c r="C777" s="11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9"/>
      <c r="B778" s="10"/>
      <c r="C778" s="11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9"/>
      <c r="B779" s="10"/>
      <c r="C779" s="11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9"/>
      <c r="B780" s="10"/>
      <c r="C780" s="11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9"/>
      <c r="B781" s="10"/>
      <c r="C781" s="11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9"/>
      <c r="B782" s="10"/>
      <c r="C782" s="11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9"/>
      <c r="B783" s="10"/>
      <c r="C783" s="11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9"/>
      <c r="B784" s="10"/>
      <c r="C784" s="11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9"/>
      <c r="B785" s="10"/>
      <c r="C785" s="11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9"/>
      <c r="B786" s="10"/>
      <c r="C786" s="11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9"/>
      <c r="B787" s="10"/>
      <c r="C787" s="11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9"/>
      <c r="B788" s="10"/>
      <c r="C788" s="11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9"/>
      <c r="B789" s="10"/>
      <c r="C789" s="11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9"/>
      <c r="B790" s="10"/>
      <c r="C790" s="11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9"/>
      <c r="B791" s="10"/>
      <c r="C791" s="11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9"/>
      <c r="B792" s="10"/>
      <c r="C792" s="11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9"/>
      <c r="B793" s="10"/>
      <c r="C793" s="11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9"/>
      <c r="B794" s="10"/>
      <c r="C794" s="11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9"/>
      <c r="B795" s="10"/>
      <c r="C795" s="11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9"/>
      <c r="B796" s="10"/>
      <c r="C796" s="11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9"/>
      <c r="B797" s="10"/>
      <c r="C797" s="11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9"/>
      <c r="B798" s="10"/>
      <c r="C798" s="11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9"/>
      <c r="B799" s="10"/>
      <c r="C799" s="11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9"/>
      <c r="B800" s="10"/>
      <c r="C800" s="11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9"/>
      <c r="B801" s="10"/>
      <c r="C801" s="11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9"/>
      <c r="B802" s="10"/>
      <c r="C802" s="11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9"/>
      <c r="B803" s="10"/>
      <c r="C803" s="11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9"/>
      <c r="B804" s="10"/>
      <c r="C804" s="11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9"/>
      <c r="B805" s="10"/>
      <c r="C805" s="11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9"/>
      <c r="B806" s="10"/>
      <c r="C806" s="11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9"/>
      <c r="B807" s="10"/>
      <c r="C807" s="11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9"/>
      <c r="B808" s="10"/>
      <c r="C808" s="11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9"/>
      <c r="B809" s="10"/>
      <c r="C809" s="11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9"/>
      <c r="B810" s="10"/>
      <c r="C810" s="11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9"/>
      <c r="B811" s="10"/>
      <c r="C811" s="11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9"/>
      <c r="B812" s="10"/>
      <c r="C812" s="11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9"/>
      <c r="B813" s="10"/>
      <c r="C813" s="11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9"/>
      <c r="B814" s="10"/>
      <c r="C814" s="11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9"/>
      <c r="B815" s="10"/>
      <c r="C815" s="11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9"/>
      <c r="B816" s="10"/>
      <c r="C816" s="11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9"/>
      <c r="B817" s="10"/>
      <c r="C817" s="11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9"/>
      <c r="B818" s="10"/>
      <c r="C818" s="11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9"/>
      <c r="B819" s="10"/>
      <c r="C819" s="11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9"/>
      <c r="B820" s="10"/>
      <c r="C820" s="11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9"/>
      <c r="B821" s="10"/>
      <c r="C821" s="11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9"/>
      <c r="B822" s="10"/>
      <c r="C822" s="11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9"/>
      <c r="B823" s="10"/>
      <c r="C823" s="11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9"/>
      <c r="B824" s="10"/>
      <c r="C824" s="11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9"/>
      <c r="B825" s="10"/>
      <c r="C825" s="11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9"/>
      <c r="B826" s="10"/>
      <c r="C826" s="11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9"/>
      <c r="B827" s="10"/>
      <c r="C827" s="11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9"/>
      <c r="B828" s="10"/>
      <c r="C828" s="11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9"/>
      <c r="B829" s="10"/>
      <c r="C829" s="11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9"/>
      <c r="B830" s="10"/>
      <c r="C830" s="11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9"/>
      <c r="B831" s="10"/>
      <c r="C831" s="11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9"/>
      <c r="B832" s="10"/>
      <c r="C832" s="11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9"/>
      <c r="B833" s="10"/>
      <c r="C833" s="11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9"/>
      <c r="B834" s="10"/>
      <c r="C834" s="11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9"/>
      <c r="B835" s="10"/>
      <c r="C835" s="11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9"/>
      <c r="B836" s="10"/>
      <c r="C836" s="11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9"/>
      <c r="B837" s="10"/>
      <c r="C837" s="11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9"/>
      <c r="B838" s="10"/>
      <c r="C838" s="11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9"/>
      <c r="B839" s="10"/>
      <c r="C839" s="11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9"/>
      <c r="B840" s="10"/>
      <c r="C840" s="11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9"/>
      <c r="B841" s="10"/>
      <c r="C841" s="11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9"/>
      <c r="B842" s="10"/>
      <c r="C842" s="11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9"/>
      <c r="B843" s="10"/>
      <c r="C843" s="11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9"/>
      <c r="B844" s="10"/>
      <c r="C844" s="11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9"/>
      <c r="B845" s="10"/>
      <c r="C845" s="11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9"/>
      <c r="B846" s="10"/>
      <c r="C846" s="11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9"/>
      <c r="B847" s="10"/>
      <c r="C847" s="11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9"/>
      <c r="B848" s="10"/>
      <c r="C848" s="11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9"/>
      <c r="B849" s="10"/>
      <c r="C849" s="11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9"/>
      <c r="B850" s="10"/>
      <c r="C850" s="11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9"/>
      <c r="B851" s="10"/>
      <c r="C851" s="11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9"/>
      <c r="B852" s="10"/>
      <c r="C852" s="11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9"/>
      <c r="B853" s="10"/>
      <c r="C853" s="11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9"/>
      <c r="B854" s="10"/>
      <c r="C854" s="11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9"/>
      <c r="B855" s="10"/>
      <c r="C855" s="11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9"/>
      <c r="B856" s="10"/>
      <c r="C856" s="11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9"/>
      <c r="B857" s="10"/>
      <c r="C857" s="11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9"/>
      <c r="B858" s="10"/>
      <c r="C858" s="11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9"/>
      <c r="B859" s="10"/>
      <c r="C859" s="11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9"/>
      <c r="B860" s="10"/>
      <c r="C860" s="11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9"/>
      <c r="B861" s="10"/>
      <c r="C861" s="11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9"/>
      <c r="B862" s="10"/>
      <c r="C862" s="11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9"/>
      <c r="B863" s="10"/>
      <c r="C863" s="11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9"/>
      <c r="B864" s="10"/>
      <c r="C864" s="11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9"/>
      <c r="B865" s="10"/>
      <c r="C865" s="11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9"/>
      <c r="B866" s="10"/>
      <c r="C866" s="11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9"/>
      <c r="B867" s="10"/>
      <c r="C867" s="11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9"/>
      <c r="B868" s="10"/>
      <c r="C868" s="11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9"/>
      <c r="B869" s="10"/>
      <c r="C869" s="11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9"/>
      <c r="B870" s="10"/>
      <c r="C870" s="11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9"/>
      <c r="B871" s="10"/>
      <c r="C871" s="11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9"/>
      <c r="B872" s="10"/>
      <c r="C872" s="11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9"/>
      <c r="B873" s="10"/>
      <c r="C873" s="11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9"/>
      <c r="B874" s="10"/>
      <c r="C874" s="11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9"/>
      <c r="B875" s="10"/>
      <c r="C875" s="11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9"/>
      <c r="B876" s="10"/>
      <c r="C876" s="11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9"/>
      <c r="B877" s="10"/>
      <c r="C877" s="11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9"/>
      <c r="B878" s="10"/>
      <c r="C878" s="11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9"/>
      <c r="B879" s="10"/>
      <c r="C879" s="11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9"/>
      <c r="B880" s="10"/>
      <c r="C880" s="11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9"/>
      <c r="B881" s="10"/>
      <c r="C881" s="11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9"/>
      <c r="B882" s="10"/>
      <c r="C882" s="11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9"/>
      <c r="B883" s="10"/>
      <c r="C883" s="11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9"/>
      <c r="B884" s="10"/>
      <c r="C884" s="11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9"/>
      <c r="B885" s="10"/>
      <c r="C885" s="11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9"/>
      <c r="B886" s="10"/>
      <c r="C886" s="11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9"/>
      <c r="B887" s="10"/>
      <c r="C887" s="11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9"/>
      <c r="B888" s="10"/>
      <c r="C888" s="11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9"/>
      <c r="B889" s="10"/>
      <c r="C889" s="11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9"/>
      <c r="B890" s="10"/>
      <c r="C890" s="11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9"/>
      <c r="B891" s="10"/>
      <c r="C891" s="11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9"/>
      <c r="B892" s="10"/>
      <c r="C892" s="11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9"/>
      <c r="B893" s="10"/>
      <c r="C893" s="11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9"/>
      <c r="B894" s="10"/>
      <c r="C894" s="11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9"/>
      <c r="B895" s="10"/>
      <c r="C895" s="11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9"/>
      <c r="B896" s="10"/>
      <c r="C896" s="11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9"/>
      <c r="B897" s="10"/>
      <c r="C897" s="11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9"/>
      <c r="B898" s="10"/>
      <c r="C898" s="11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9"/>
      <c r="B899" s="10"/>
      <c r="C899" s="11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9"/>
      <c r="B900" s="10"/>
      <c r="C900" s="11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9"/>
      <c r="B901" s="10"/>
      <c r="C901" s="11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9"/>
      <c r="B902" s="10"/>
      <c r="C902" s="11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9"/>
      <c r="B903" s="10"/>
      <c r="C903" s="11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9"/>
      <c r="B904" s="10"/>
      <c r="C904" s="11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9"/>
      <c r="B905" s="10"/>
      <c r="C905" s="11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9"/>
      <c r="B906" s="10"/>
      <c r="C906" s="11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9"/>
      <c r="B907" s="10"/>
      <c r="C907" s="11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9"/>
      <c r="B908" s="10"/>
      <c r="C908" s="11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9"/>
      <c r="B909" s="10"/>
      <c r="C909" s="11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9"/>
      <c r="B910" s="10"/>
      <c r="C910" s="11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9"/>
      <c r="B911" s="10"/>
      <c r="C911" s="11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9"/>
      <c r="B912" s="10"/>
      <c r="C912" s="11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9"/>
      <c r="B913" s="10"/>
      <c r="C913" s="11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9"/>
      <c r="B914" s="10"/>
      <c r="C914" s="11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9"/>
      <c r="B915" s="10"/>
      <c r="C915" s="11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9"/>
      <c r="B916" s="10"/>
      <c r="C916" s="11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9"/>
      <c r="B917" s="10"/>
      <c r="C917" s="11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9"/>
      <c r="B918" s="10"/>
      <c r="C918" s="11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9"/>
      <c r="B919" s="10"/>
      <c r="C919" s="11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9"/>
      <c r="B920" s="10"/>
      <c r="C920" s="11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9"/>
      <c r="B921" s="10"/>
      <c r="C921" s="11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9"/>
      <c r="B922" s="10"/>
      <c r="C922" s="11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9"/>
      <c r="B923" s="10"/>
      <c r="C923" s="11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9"/>
      <c r="B924" s="10"/>
      <c r="C924" s="11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9"/>
      <c r="B925" s="10"/>
      <c r="C925" s="11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9"/>
      <c r="B926" s="10"/>
      <c r="C926" s="11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9"/>
      <c r="B927" s="10"/>
      <c r="C927" s="11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9"/>
      <c r="B928" s="10"/>
      <c r="C928" s="11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9"/>
      <c r="B929" s="10"/>
      <c r="C929" s="11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9"/>
      <c r="B930" s="10"/>
      <c r="C930" s="11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9"/>
      <c r="B931" s="10"/>
      <c r="C931" s="11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9"/>
      <c r="B932" s="10"/>
      <c r="C932" s="11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9"/>
      <c r="B933" s="10"/>
      <c r="C933" s="11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9"/>
      <c r="B934" s="10"/>
      <c r="C934" s="11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9"/>
      <c r="B935" s="10"/>
      <c r="C935" s="11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9"/>
      <c r="B936" s="10"/>
      <c r="C936" s="11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9"/>
      <c r="B937" s="10"/>
      <c r="C937" s="11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9"/>
      <c r="B938" s="10"/>
      <c r="C938" s="11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9"/>
      <c r="B939" s="10"/>
      <c r="C939" s="11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9"/>
      <c r="B940" s="10"/>
      <c r="C940" s="11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9"/>
      <c r="B941" s="10"/>
      <c r="C941" s="11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9"/>
      <c r="B942" s="10"/>
      <c r="C942" s="11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9"/>
      <c r="B943" s="10"/>
      <c r="C943" s="11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9"/>
      <c r="B944" s="10"/>
      <c r="C944" s="11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9"/>
      <c r="B945" s="10"/>
      <c r="C945" s="11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9"/>
      <c r="B946" s="10"/>
      <c r="C946" s="11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9"/>
      <c r="B947" s="10"/>
      <c r="C947" s="11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9"/>
      <c r="B948" s="10"/>
      <c r="C948" s="11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9"/>
      <c r="B949" s="10"/>
      <c r="C949" s="11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9"/>
      <c r="B950" s="10"/>
      <c r="C950" s="11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9"/>
      <c r="B951" s="10"/>
      <c r="C951" s="11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9"/>
      <c r="B952" s="10"/>
      <c r="C952" s="11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9"/>
      <c r="B953" s="10"/>
      <c r="C953" s="11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9"/>
      <c r="B954" s="10"/>
      <c r="C954" s="11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9"/>
      <c r="B955" s="10"/>
      <c r="C955" s="11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9"/>
      <c r="B956" s="10"/>
      <c r="C956" s="11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9"/>
      <c r="B957" s="10"/>
      <c r="C957" s="11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9"/>
      <c r="B958" s="10"/>
      <c r="C958" s="11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9"/>
      <c r="B959" s="10"/>
      <c r="C959" s="11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9"/>
      <c r="B960" s="10"/>
      <c r="C960" s="11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9"/>
      <c r="B961" s="10"/>
      <c r="C961" s="11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9"/>
      <c r="B962" s="10"/>
      <c r="C962" s="11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9"/>
      <c r="B963" s="10"/>
      <c r="C963" s="11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9"/>
      <c r="B964" s="10"/>
      <c r="C964" s="11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9"/>
      <c r="B965" s="10"/>
      <c r="C965" s="11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9"/>
      <c r="B966" s="10"/>
      <c r="C966" s="11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9"/>
      <c r="B967" s="10"/>
      <c r="C967" s="11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9"/>
      <c r="B968" s="10"/>
      <c r="C968" s="11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9"/>
      <c r="B969" s="10"/>
      <c r="C969" s="11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9"/>
      <c r="B970" s="10"/>
      <c r="C970" s="11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9"/>
      <c r="B971" s="10"/>
      <c r="C971" s="11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9"/>
      <c r="B972" s="10"/>
      <c r="C972" s="11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9"/>
      <c r="B973" s="10"/>
      <c r="C973" s="11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9"/>
      <c r="B974" s="10"/>
      <c r="C974" s="11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9"/>
      <c r="B975" s="10"/>
      <c r="C975" s="11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9"/>
      <c r="B976" s="10"/>
      <c r="C976" s="11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9"/>
      <c r="B977" s="10"/>
      <c r="C977" s="11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9"/>
      <c r="B978" s="10"/>
      <c r="C978" s="11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9"/>
      <c r="B979" s="10"/>
      <c r="C979" s="11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9"/>
      <c r="B980" s="10"/>
      <c r="C980" s="11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9"/>
      <c r="B981" s="10"/>
      <c r="C981" s="11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9"/>
      <c r="B982" s="10"/>
      <c r="C982" s="11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9"/>
      <c r="B983" s="10"/>
      <c r="C983" s="11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9"/>
      <c r="B984" s="10"/>
      <c r="C984" s="11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9"/>
      <c r="B985" s="10"/>
      <c r="C985" s="11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9"/>
      <c r="B986" s="10"/>
      <c r="C986" s="11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9"/>
      <c r="B987" s="10"/>
      <c r="C987" s="11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9"/>
      <c r="B988" s="10"/>
      <c r="C988" s="11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9"/>
      <c r="B989" s="10"/>
      <c r="C989" s="11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9"/>
      <c r="B990" s="10"/>
      <c r="C990" s="11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9"/>
      <c r="B991" s="10"/>
      <c r="C991" s="11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9"/>
      <c r="B992" s="10"/>
      <c r="C992" s="11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9"/>
      <c r="B993" s="10"/>
      <c r="C993" s="11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9"/>
      <c r="B994" s="10"/>
      <c r="C994" s="11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9"/>
      <c r="B995" s="10"/>
      <c r="C995" s="11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9"/>
      <c r="B996" s="10"/>
      <c r="C996" s="11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9"/>
      <c r="B997" s="10"/>
      <c r="C997" s="11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9"/>
      <c r="B998" s="10"/>
      <c r="C998" s="11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9"/>
      <c r="B999" s="10"/>
      <c r="C999" s="11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9"/>
      <c r="B1000" s="10"/>
      <c r="C1000" s="11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rawing r:id="rId1"/>
</worksheet>
</file>